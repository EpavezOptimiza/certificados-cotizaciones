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optimiza912-my.sharepoint.com/personal/admin_optimizaco_cl/Documents/01 OPTIMIZA-CLOUD/PRODUCCION 2.0/Y _ AHORRO/"/>
    </mc:Choice>
  </mc:AlternateContent>
  <xr:revisionPtr revIDLastSave="7" documentId="8_{BB14EDA6-69A4-4118-81A7-FCF5A41DCF3D}" xr6:coauthVersionLast="47" xr6:coauthVersionMax="47" xr10:uidLastSave="{320D6DF5-95F3-4436-8A37-F7F8FD39C249}"/>
  <bookViews>
    <workbookView xWindow="-110" yWindow="-110" windowWidth="19420" windowHeight="10300" firstSheet="3" activeTab="3" xr2:uid="{00000000-000D-0000-FFFF-FFFF00000000}"/>
  </bookViews>
  <sheets>
    <sheet name="Levantamiento" sheetId="1" state="hidden" r:id="rId1"/>
    <sheet name="Revision" sheetId="2" state="hidden" r:id="rId2"/>
    <sheet name="Detalle" sheetId="3" state="hidden" r:id="rId3"/>
    <sheet name="Base AFP" sheetId="4" r:id="rId4"/>
    <sheet name="Hoja2" sheetId="5" state="hidden" r:id="rId5"/>
    <sheet name="Base Isapre" sheetId="6" r:id="rId6"/>
  </sheets>
  <definedNames>
    <definedName name="_xlnm._FilterDatabase" localSheetId="3" hidden="1">'Base AFP'!$A$1:$L$1</definedName>
    <definedName name="_xlnm._FilterDatabase" localSheetId="5" hidden="1">'Base Isapre'!$A$1:$S$1</definedName>
  </definedNames>
  <calcPr calcId="191029"/>
  <pivotCaches>
    <pivotCache cacheId="21" r:id="rId7"/>
    <pivotCache cacheId="22" r:id="rId8"/>
    <pivotCache cacheId="23" r:id="rId9"/>
    <pivotCache cacheId="24" r:id="rId10"/>
    <pivotCache cacheId="2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6" i="1" l="1"/>
  <c r="AG16" i="1"/>
  <c r="AF16" i="1"/>
  <c r="AE16" i="1"/>
  <c r="AD16" i="1"/>
  <c r="AC16" i="1"/>
  <c r="AB16" i="1"/>
  <c r="AA16" i="1"/>
  <c r="Z16" i="1"/>
  <c r="Y16" i="1"/>
  <c r="AI16" i="1" s="1"/>
  <c r="AI15" i="1"/>
  <c r="V15" i="1"/>
  <c r="AI14" i="1"/>
  <c r="AI13" i="1"/>
  <c r="AI12" i="1"/>
  <c r="AI11" i="1"/>
  <c r="AI10" i="1"/>
  <c r="AI9" i="1"/>
  <c r="AI8" i="1"/>
  <c r="AI7" i="1"/>
  <c r="AI6" i="1"/>
  <c r="AI5" i="1"/>
  <c r="AI4" i="1"/>
  <c r="AI3" i="1"/>
</calcChain>
</file>

<file path=xl/sharedStrings.xml><?xml version="1.0" encoding="utf-8"?>
<sst xmlns="http://schemas.openxmlformats.org/spreadsheetml/2006/main" count="351" uniqueCount="127">
  <si>
    <t>RUT EMPRESA</t>
  </si>
  <si>
    <t>PACTADO</t>
  </si>
  <si>
    <t>PAGADO </t>
  </si>
  <si>
    <t>PAGADO A OTRA INSTITUCION</t>
  </si>
  <si>
    <t>FEE%</t>
  </si>
  <si>
    <t>CC</t>
  </si>
  <si>
    <t>Cruz Blanca</t>
  </si>
  <si>
    <t>Consalud</t>
  </si>
  <si>
    <t>Etiquetas de fila</t>
  </si>
  <si>
    <t xml:space="preserve">Suma de Monto Interes </t>
  </si>
  <si>
    <t>Institucion</t>
  </si>
  <si>
    <t>Monto intereses</t>
  </si>
  <si>
    <t>76044521-5</t>
  </si>
  <si>
    <t>76062760-7</t>
  </si>
  <si>
    <t>76084008-4</t>
  </si>
  <si>
    <t>76165723-2</t>
  </si>
  <si>
    <t>76300156-3</t>
  </si>
  <si>
    <t>76379560-8</t>
  </si>
  <si>
    <t xml:space="preserve">76406450-K </t>
  </si>
  <si>
    <t xml:space="preserve">76442007-1 </t>
  </si>
  <si>
    <t xml:space="preserve">76682710-1 </t>
  </si>
  <si>
    <t>79816000-1</t>
  </si>
  <si>
    <t>Total General</t>
  </si>
  <si>
    <t>AFC</t>
  </si>
  <si>
    <t>Sin acceso</t>
  </si>
  <si>
    <t>Pendiente</t>
  </si>
  <si>
    <t>AFP Capital</t>
  </si>
  <si>
    <t>AFP Cuprum</t>
  </si>
  <si>
    <t>AFP Habitat</t>
  </si>
  <si>
    <t>AFP Modelo</t>
  </si>
  <si>
    <t xml:space="preserve">AFP Modelo </t>
  </si>
  <si>
    <t>AFP PlanVital</t>
  </si>
  <si>
    <t>AFP Provida</t>
  </si>
  <si>
    <t xml:space="preserve">AFP Uno </t>
  </si>
  <si>
    <t>Colmena</t>
  </si>
  <si>
    <t>Total general</t>
  </si>
  <si>
    <t>Nueva Masvida</t>
  </si>
  <si>
    <t>Suma de MONTO INTERES </t>
  </si>
  <si>
    <t>10039285-2</t>
  </si>
  <si>
    <t>12196091-5</t>
  </si>
  <si>
    <t>12308587-6</t>
  </si>
  <si>
    <t>12363273-7</t>
  </si>
  <si>
    <t>13735305-9</t>
  </si>
  <si>
    <t>13842870-2</t>
  </si>
  <si>
    <t>15547482-3</t>
  </si>
  <si>
    <t>15961955-9</t>
  </si>
  <si>
    <t>16168842-8</t>
  </si>
  <si>
    <t>16996329-0</t>
  </si>
  <si>
    <t>17604395-4</t>
  </si>
  <si>
    <t>17857268-7</t>
  </si>
  <si>
    <t>17881773-6</t>
  </si>
  <si>
    <t>18155604-8</t>
  </si>
  <si>
    <t>18302025-0</t>
  </si>
  <si>
    <t>18427671-2</t>
  </si>
  <si>
    <t>19001320-0</t>
  </si>
  <si>
    <t>19269577-5</t>
  </si>
  <si>
    <t>19286634-0</t>
  </si>
  <si>
    <t>8327323-2</t>
  </si>
  <si>
    <t>Rut</t>
  </si>
  <si>
    <t>76008993-1</t>
  </si>
  <si>
    <t xml:space="preserve">77092706-4 </t>
  </si>
  <si>
    <t xml:space="preserve">77092709-9 </t>
  </si>
  <si>
    <t>Sin afiliados</t>
  </si>
  <si>
    <t>Falta Rol</t>
  </si>
  <si>
    <t xml:space="preserve">77494224-6 </t>
  </si>
  <si>
    <t>77535473-9</t>
  </si>
  <si>
    <t>PENDINTE DE PEDIR</t>
  </si>
  <si>
    <t>77853970-5</t>
  </si>
  <si>
    <t>(Todas)</t>
  </si>
  <si>
    <t>AFP ó AFC</t>
  </si>
  <si>
    <t>34_ ESTATUS</t>
  </si>
  <si>
    <t>Enviar a Gestionar</t>
  </si>
  <si>
    <t>(en blanco)</t>
  </si>
  <si>
    <t>Claves AFC</t>
  </si>
  <si>
    <t>7673Est.</t>
  </si>
  <si>
    <t>No dejo entrar</t>
  </si>
  <si>
    <t>Quilas1.</t>
  </si>
  <si>
    <t>76406450-K</t>
  </si>
  <si>
    <t>76442007-1</t>
  </si>
  <si>
    <t>76682710-1</t>
  </si>
  <si>
    <t>77092709-9</t>
  </si>
  <si>
    <t>77494224-6</t>
  </si>
  <si>
    <t>77092706-4</t>
  </si>
  <si>
    <t>Etiquetas de columna</t>
  </si>
  <si>
    <t>FEE%_MONTO</t>
  </si>
  <si>
    <t>INVERSIONES MONTREAL</t>
  </si>
  <si>
    <t>EMPRESAS MARTA BID</t>
  </si>
  <si>
    <t>INMOBILIARIA MARTABID SpA</t>
  </si>
  <si>
    <t>FORESTAL CALGARY</t>
  </si>
  <si>
    <t>INMOBILIARIA LOS CANALES SPA</t>
  </si>
  <si>
    <t>CONSTRUCTORA LAVAL SpA</t>
  </si>
  <si>
    <t>INMOBILIARIA BOSQUES DE ENTRE RIOS SPA</t>
  </si>
  <si>
    <t>CANADAMAQ SpA</t>
  </si>
  <si>
    <t>CONSTRUCTORA MANITOBA SPA</t>
  </si>
  <si>
    <t>CANADA HOUSE S.A.</t>
  </si>
  <si>
    <t>INMOBILIARIA BALUART SPA</t>
  </si>
  <si>
    <t>INMOBILARIA BRAMPTON SPA</t>
  </si>
  <si>
    <t>INMOBIILARIA BELMONTE SPA</t>
  </si>
  <si>
    <t>INMOBILARIA JOMAR SPA</t>
  </si>
  <si>
    <t>CONSTRUCTORA JOMAR SpA</t>
  </si>
  <si>
    <t>Rut empresa</t>
  </si>
  <si>
    <t>Nombre empresa</t>
  </si>
  <si>
    <t>Total deuda Afp</t>
  </si>
  <si>
    <t>Total deuda Isapre</t>
  </si>
  <si>
    <t>01_RUT EMPRESA</t>
  </si>
  <si>
    <t>02_RAZON SOCIAL</t>
  </si>
  <si>
    <t>OBS</t>
  </si>
  <si>
    <t>03_RUT AFILIADO</t>
  </si>
  <si>
    <t>04_NOMBRE AFILIADO</t>
  </si>
  <si>
    <t>05_TIPO PRODUCTO</t>
  </si>
  <si>
    <t>06_INSTITUCION</t>
  </si>
  <si>
    <t>07_PERÍODO A REGULARIZAR</t>
  </si>
  <si>
    <t>08_FECHA CESE</t>
  </si>
  <si>
    <t>11_DIFERENCIA</t>
  </si>
  <si>
    <t>12_MONTO INTERES </t>
  </si>
  <si>
    <t>13_ANALISIS</t>
  </si>
  <si>
    <t>09_MOTIVO</t>
  </si>
  <si>
    <t>14_DOCUMENTO A SOLICITAR</t>
  </si>
  <si>
    <t>15_ESTATUS</t>
  </si>
  <si>
    <t>11_MONTO NOMINAL</t>
  </si>
  <si>
    <t xml:space="preserve">12_MONTO INTERES </t>
  </si>
  <si>
    <t>13_ ANALISIS</t>
  </si>
  <si>
    <t>09_ MOTIVOS DE DEUDA</t>
  </si>
  <si>
    <t>14_ TIPO DOCUMENTO</t>
  </si>
  <si>
    <t>15_ ESTATUS</t>
  </si>
  <si>
    <t>OBSERVACIONES</t>
  </si>
  <si>
    <t>TIPO DEUDA PREJUDICIAL/JUDICIAL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</si>
</sst>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A9CC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2" fontId="1" fillId="0" borderId="0"/>
  </cellStyleXfs>
  <cellXfs count="72">
    <xf numFmtId="0" fontId="0" fillId="0" borderId="0" xfId="0"/>
    <xf numFmtId="0" fontId="0" fillId="0" borderId="1" xfId="0" applyBorder="1"/>
    <xf numFmtId="42" fontId="0" fillId="0" borderId="0" xfId="1" applyFont="1"/>
    <xf numFmtId="42" fontId="0" fillId="0" borderId="1" xfId="0" applyNumberFormat="1" applyBorder="1"/>
    <xf numFmtId="0" fontId="0" fillId="0" borderId="0" xfId="0" applyAlignment="1">
      <alignment horizontal="left"/>
    </xf>
    <xf numFmtId="0" fontId="0" fillId="0" borderId="4" xfId="0" applyBorder="1"/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42" fontId="4" fillId="3" borderId="0" xfId="1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42" fontId="5" fillId="4" borderId="10" xfId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0" fillId="0" borderId="12" xfId="0" applyBorder="1"/>
    <xf numFmtId="42" fontId="0" fillId="0" borderId="0" xfId="0" applyNumberFormat="1"/>
    <xf numFmtId="42" fontId="0" fillId="0" borderId="16" xfId="0" applyNumberFormat="1" applyBorder="1"/>
    <xf numFmtId="42" fontId="0" fillId="0" borderId="18" xfId="0" applyNumberFormat="1" applyBorder="1"/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2" fontId="4" fillId="3" borderId="0" xfId="1" applyFont="1" applyFill="1" applyAlignment="1">
      <alignment horizontal="right" vertical="center" wrapText="1"/>
    </xf>
    <xf numFmtId="0" fontId="0" fillId="0" borderId="0" xfId="0" pivotButton="1"/>
    <xf numFmtId="0" fontId="0" fillId="0" borderId="11" xfId="0" pivotButton="1" applyBorder="1" applyAlignment="1">
      <alignment horizontal="left"/>
    </xf>
    <xf numFmtId="0" fontId="0" fillId="0" borderId="13" xfId="0" pivotButton="1" applyBorder="1" applyAlignment="1">
      <alignment horizontal="center"/>
    </xf>
    <xf numFmtId="0" fontId="0" fillId="0" borderId="14" xfId="0" applyBorder="1" applyAlignment="1">
      <alignment horizontal="left"/>
    </xf>
    <xf numFmtId="15" fontId="0" fillId="0" borderId="0" xfId="0" applyNumberFormat="1"/>
    <xf numFmtId="0" fontId="0" fillId="0" borderId="1" xfId="0" applyBorder="1" applyAlignment="1">
      <alignment horizontal="center"/>
    </xf>
    <xf numFmtId="42" fontId="2" fillId="0" borderId="19" xfId="0" applyNumberFormat="1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5" xfId="0" applyBorder="1" applyAlignment="1">
      <alignment horizontal="left"/>
    </xf>
    <xf numFmtId="42" fontId="0" fillId="0" borderId="6" xfId="0" applyNumberFormat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6" borderId="7" xfId="0" applyFont="1" applyFill="1" applyBorder="1" applyAlignment="1">
      <alignment horizontal="left"/>
    </xf>
    <xf numFmtId="42" fontId="2" fillId="6" borderId="8" xfId="0" applyNumberFormat="1" applyFont="1" applyFill="1" applyBorder="1"/>
    <xf numFmtId="42" fontId="2" fillId="6" borderId="9" xfId="0" applyNumberFormat="1" applyFont="1" applyFill="1" applyBorder="1"/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1" xfId="0" pivotButton="1" applyBorder="1"/>
    <xf numFmtId="42" fontId="0" fillId="9" borderId="0" xfId="0" applyNumberFormat="1" applyFill="1"/>
    <xf numFmtId="0" fontId="0" fillId="6" borderId="0" xfId="0" applyFill="1" applyAlignment="1">
      <alignment horizontal="left"/>
    </xf>
    <xf numFmtId="42" fontId="0" fillId="6" borderId="0" xfId="0" applyNumberFormat="1" applyFill="1"/>
    <xf numFmtId="0" fontId="0" fillId="6" borderId="0" xfId="0" applyFill="1"/>
    <xf numFmtId="0" fontId="8" fillId="6" borderId="2" xfId="0" applyFont="1" applyFill="1" applyBorder="1"/>
    <xf numFmtId="0" fontId="8" fillId="6" borderId="4" xfId="0" applyFont="1" applyFill="1" applyBorder="1"/>
    <xf numFmtId="0" fontId="9" fillId="0" borderId="5" xfId="0" applyFont="1" applyBorder="1"/>
    <xf numFmtId="42" fontId="9" fillId="0" borderId="6" xfId="1" applyFont="1" applyBorder="1"/>
    <xf numFmtId="0" fontId="8" fillId="6" borderId="7" xfId="0" applyFont="1" applyFill="1" applyBorder="1"/>
    <xf numFmtId="42" fontId="8" fillId="6" borderId="9" xfId="1" applyFont="1" applyFill="1" applyBorder="1"/>
    <xf numFmtId="0" fontId="2" fillId="10" borderId="29" xfId="0" applyFont="1" applyFill="1" applyBorder="1"/>
    <xf numFmtId="0" fontId="2" fillId="10" borderId="0" xfId="0" applyFont="1" applyFill="1"/>
    <xf numFmtId="42" fontId="2" fillId="10" borderId="19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42" fontId="3" fillId="2" borderId="0" xfId="1" applyFont="1" applyFill="1" applyBorder="1" applyAlignment="1">
      <alignment horizontal="center" vertical="center"/>
    </xf>
    <xf numFmtId="0" fontId="0" fillId="0" borderId="0" xfId="0" applyBorder="1"/>
    <xf numFmtId="42" fontId="0" fillId="0" borderId="0" xfId="1" applyFont="1" applyBorder="1"/>
  </cellXfs>
  <cellStyles count="2">
    <cellStyle name="Moneda [0]" xfId="1" builtinId="7"/>
    <cellStyle name="Normal" xfId="0" builtinId="0"/>
  </cellStyles>
  <dxfs count="28"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  <alignment horizontal="left" vertical="bottom"/>
    </dxf>
    <dxf>
      <fill>
        <patternFill patternType="solid">
          <fgColor indexed="64"/>
          <bgColor rgb="FF00B0F0"/>
        </patternFill>
      </fill>
    </dxf>
    <dxf>
      <font>
        <strike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" refreshedDate="46147.59116527778" createdVersion="8" refreshedVersion="8" minRefreshableVersion="3" recordCount="163" xr:uid="{00000000-000A-0000-FFFF-FFFF01000000}">
  <cacheSource type="worksheet">
    <worksheetSource ref="A1:Q1" sheet="Base AFP"/>
  </cacheSource>
  <cacheFields count="22">
    <cacheField name="RUT_Empresa" numFmtId="0">
      <sharedItems count="16">
        <s v="76062760-7"/>
        <s v="76008993-1"/>
        <s v="76044521-5"/>
        <s v="76084008-4"/>
        <s v="76165723-2"/>
        <s v="76300156-3"/>
        <s v="76379560-8"/>
        <s v="76406450-K "/>
        <s v="76442007-1 "/>
        <s v="76682710-1 "/>
        <s v="77092706-4 "/>
        <s v="77092709-9 "/>
        <s v="77494224-6 "/>
        <s v="79816000-1"/>
        <s v="77535473-9"/>
        <s v="77853970-5"/>
      </sharedItems>
    </cacheField>
    <cacheField name="Razon_Social" numFmtId="0">
      <sharedItems count="16">
        <s v="INMOB MARTA BID"/>
        <s v="INVERSIONES MONTREAL"/>
        <s v="EMPRESAS MARTA BID"/>
        <s v="FORESTAL CALGARY"/>
        <s v="INMOB LOS CANALES"/>
        <s v="CONSTRUC LAVAL"/>
        <s v="INMOB BOSQUES ENTRE R"/>
        <s v="CANADA MAQ"/>
        <s v="CONSTRUC MANITOBA"/>
        <s v="CANADA HOUSE"/>
        <s v="INMOB BALUART"/>
        <s v="INMOB BRAMPTON"/>
        <s v="INMOB BELMONTE"/>
        <s v=" CONSTRUC JOMAR"/>
        <s v="CANADA SERVICE SPA"/>
        <s v="INMOBILARIA JOMAR SPA"/>
      </sharedItems>
    </cacheField>
    <cacheField name="Rut afiliado" numFmtId="0">
      <sharedItems containsBlank="1"/>
    </cacheField>
    <cacheField name="Nombre afiliado" numFmtId="0">
      <sharedItems containsBlank="1"/>
    </cacheField>
    <cacheField name="Tipo producto" numFmtId="0">
      <sharedItems containsBlank="1"/>
    </cacheField>
    <cacheField name="AFP ó AFC" numFmtId="0">
      <sharedItems count="9">
        <s v="AFP Habitat"/>
        <s v="AFC"/>
        <s v="AFP Capital"/>
        <s v="AFP Cuprum"/>
        <s v="AFP Modelo "/>
        <s v="AFP PlanVital"/>
        <s v="AFP Provida"/>
        <s v="AFP Uno "/>
        <s v="AFP Modelo"/>
      </sharedItems>
    </cacheField>
    <cacheField name="Período a regularizar" numFmtId="0">
      <sharedItems containsDate="1" containsMixedTypes="1" minDate="2009-11-01T00:00:00" maxDate="2025-12-02T00:00:00"/>
    </cacheField>
    <cacheField name="Monto Nominal" numFmtId="0">
      <sharedItems containsString="0" containsBlank="1" containsNumber="1" containsInteger="1" minValue="126" maxValue="886800"/>
    </cacheField>
    <cacheField name="Monto Interes " numFmtId="0">
      <sharedItems containsString="0" containsBlank="1" containsNumber="1" containsInteger="1" minValue="4224" maxValue="969264"/>
    </cacheField>
    <cacheField name="FEE%_MONTO" numFmtId="0">
      <sharedItems containsString="0" containsBlank="1" containsNumber="1" minValue="2816" maxValue="57783.199999999997"/>
    </cacheField>
    <cacheField name="Tipo deuda" numFmtId="0">
      <sharedItems containsNonDate="0" containsString="0" containsBlank="1"/>
    </cacheField>
    <cacheField name="22_ FEE% MONTO" numFmtId="0">
      <sharedItems containsNonDate="0" containsString="0" containsBlank="1"/>
    </cacheField>
    <cacheField name="Fecha cese" numFmtId="0">
      <sharedItems containsNonDate="0" containsString="0" containsBlank="1"/>
    </cacheField>
    <cacheField name="Ultimo per cotz" numFmtId="0">
      <sharedItems containsNonDate="0" containsString="0" containsBlank="1"/>
    </cacheField>
    <cacheField name="25_ ANALISIS" numFmtId="0">
      <sharedItems containsNonDate="0" containsString="0" containsBlank="1"/>
    </cacheField>
    <cacheField name="Periodo(s)" numFmtId="0">
      <sharedItems containsNonDate="0" containsString="0" containsBlank="1"/>
    </cacheField>
    <cacheField name="26_ MOTIVOS DE DEUDA" numFmtId="0">
      <sharedItems containsNonDate="0" containsString="0" containsBlank="1"/>
    </cacheField>
    <cacheField name="27_ TIPO DOCUMENTO" numFmtId="0">
      <sharedItems containsNonDate="0" containsString="0" containsBlank="1"/>
    </cacheField>
    <cacheField name="28_ MOTIVO CARTA EXPLICATIVA" numFmtId="0">
      <sharedItems containsNonDate="0" containsString="0" containsBlank="1"/>
    </cacheField>
    <cacheField name="32_ ACCION" numFmtId="0">
      <sharedItems containsNonDate="0" containsString="0" containsBlank="1"/>
    </cacheField>
    <cacheField name="34_ ESTATUS" numFmtId="0">
      <sharedItems containsBlank="1"/>
    </cacheField>
    <cacheField name="35_ 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" refreshedDate="46148.505355208326" createdVersion="8" refreshedVersion="8" minRefreshableVersion="3" recordCount="280" xr:uid="{00000000-000A-0000-FFFF-FFFF03000000}">
  <cacheSource type="worksheet">
    <worksheetSource ref="A1:S1048576" sheet="Base Isapre"/>
  </cacheSource>
  <cacheFields count="29">
    <cacheField name="RUT EMPRESA" numFmtId="0">
      <sharedItems containsBlank="1" count="16">
        <s v="76008993-1"/>
        <s v="76044521-5"/>
        <s v="76062760-7"/>
        <s v="76084008-4"/>
        <s v="76165723-2"/>
        <s v="76300156-3"/>
        <s v="76379560-8"/>
        <s v="76406450-K"/>
        <s v="76442007-1"/>
        <s v="76682710-1"/>
        <s v="77092706-4"/>
        <s v="77092709-9"/>
        <s v="77494224-6 "/>
        <s v="77853970-5"/>
        <s v="79816000-1"/>
        <m/>
      </sharedItems>
    </cacheField>
    <cacheField name="RAZON SOCIAL" numFmtId="0">
      <sharedItems containsBlank="1"/>
    </cacheField>
    <cacheField name="Rut afiliado" numFmtId="0">
      <sharedItems containsBlank="1" count="77">
        <s v="ND"/>
        <s v="15985399-3"/>
        <s v="17857268-7"/>
        <s v="15660439-9"/>
        <s v="17402714-5"/>
        <s v="13311158-1"/>
        <s v="13735305-9"/>
        <s v="12196091-5"/>
        <s v="15961955-9"/>
        <s v="15370022-2"/>
        <s v="8327323-2"/>
        <s v="17365735-8"/>
        <s v="13391166-9"/>
        <s v="12338759-7"/>
        <s v="13321297-3"/>
        <s v="18302025-0"/>
        <s v="16996329-0"/>
        <s v="14462640-0"/>
        <s v="13963511-6"/>
        <s v="12308587-6"/>
        <s v="17583512-1"/>
        <s v="10039285-2"/>
        <s v="11499479-0"/>
        <s v="14083126-3"/>
        <s v="16095574-0"/>
        <s v="15989141-0"/>
        <s v="20900245-0"/>
        <s v="18885171-1"/>
        <s v="15547482-3"/>
        <s v="16984189-6"/>
        <s v="16879238-7"/>
        <s v="15553908-9"/>
        <s v="16947532-6"/>
        <s v="15240870-6"/>
        <s v="17604395-4"/>
        <s v="14231476-2"/>
        <s v="15233881-3"/>
        <s v="17327314-2"/>
        <s v="19001320-0"/>
        <s v="19269577-5"/>
        <s v="16407506-0"/>
        <s v="17881773-6"/>
        <s v="18427671-2"/>
        <s v="17056773-0"/>
        <s v="15246705-2"/>
        <s v="14218767-1"/>
        <s v="17712170-9"/>
        <s v="11767501-7"/>
        <s v="13842870-2"/>
        <s v="16168842-8"/>
        <s v="13516609-K"/>
        <s v="15296024-7"/>
        <s v="12363273-7"/>
        <s v="17658099-2"/>
        <s v="17592997-5"/>
        <s v="18734730-0"/>
        <s v="15276050-7"/>
        <s v="16709330-2"/>
        <s v="12854945-5"/>
        <s v="16002422-4"/>
        <s v="17916749-2"/>
        <s v="13886185-6"/>
        <s v="13617847-4"/>
        <s v="11917168-7"/>
        <s v="8015574-3"/>
        <s v="19286634-0"/>
        <s v="13732066-5"/>
        <s v="16634280-5"/>
        <s v="13898465-6"/>
        <s v="10168668-K"/>
        <s v="16850493-4"/>
        <s v="10635613-0"/>
        <s v="18803887-5"/>
        <s v="14080080-5"/>
        <s v="15923876-8"/>
        <s v="18155604-8"/>
        <m/>
      </sharedItems>
    </cacheField>
    <cacheField name="Nombre afiliado" numFmtId="0">
      <sharedItems containsBlank="1"/>
    </cacheField>
    <cacheField name="Tipo producto" numFmtId="0">
      <sharedItems containsBlank="1"/>
    </cacheField>
    <cacheField name="INSTITUCION" numFmtId="0">
      <sharedItems containsBlank="1" count="5">
        <s v="Cruz Blanca"/>
        <s v="Nueva Masvida"/>
        <s v="Colmena"/>
        <s v="Consalud"/>
        <m/>
      </sharedItems>
    </cacheField>
    <cacheField name="Período a regularizar" numFmtId="0">
      <sharedItems containsDate="1" containsBlank="1" containsMixedTypes="1" minDate="2012-02-01T00:00:00" maxDate="2026-12-07T00:00:00"/>
    </cacheField>
    <cacheField name="PACTADO" numFmtId="42">
      <sharedItems containsString="0" containsBlank="1" containsNumber="1" containsInteger="1" minValue="2738" maxValue="536169"/>
    </cacheField>
    <cacheField name="PAGADO " numFmtId="42">
      <sharedItems containsString="0" containsBlank="1" containsNumber="1" containsInteger="1" minValue="0" maxValue="400379" count="171">
        <m/>
        <n v="82316"/>
        <n v="178485"/>
        <n v="180268"/>
        <n v="181369"/>
        <n v="195683"/>
        <n v="197637"/>
        <n v="0"/>
        <n v="166483"/>
        <n v="74035"/>
        <n v="169690"/>
        <n v="95461"/>
        <n v="204710"/>
        <n v="205820"/>
        <n v="79479"/>
        <n v="51353"/>
        <n v="106690"/>
        <n v="106503"/>
        <n v="87373"/>
        <n v="87495"/>
        <n v="87994"/>
        <n v="88136"/>
        <n v="88412"/>
        <n v="88638"/>
        <n v="88880"/>
        <n v="89206"/>
        <n v="89313"/>
        <n v="18776"/>
        <n v="157538"/>
        <n v="158566"/>
        <n v="158286"/>
        <n v="158056"/>
        <n v="158271"/>
        <n v="158485"/>
        <n v="158974"/>
        <n v="158600"/>
        <n v="158369"/>
        <n v="159043"/>
        <n v="159658"/>
        <n v="160021"/>
        <n v="147569"/>
        <n v="147805"/>
        <n v="148012"/>
        <n v="257478"/>
        <n v="79379"/>
        <n v="53351"/>
        <n v="3983"/>
        <n v="3306"/>
        <n v="87754"/>
        <n v="88128"/>
        <n v="175466"/>
        <n v="176417"/>
        <n v="140184"/>
        <n v="156515"/>
        <n v="145918"/>
        <n v="20264"/>
        <n v="19718"/>
        <n v="22214"/>
        <n v="20350"/>
        <n v="20291"/>
        <n v="20255"/>
        <n v="81140"/>
        <n v="39418"/>
        <n v="37352"/>
        <n v="140142"/>
        <n v="103986"/>
        <n v="209775"/>
        <n v="169826"/>
        <n v="183386"/>
        <n v="26582"/>
        <n v="49781"/>
        <n v="67779"/>
        <n v="90442"/>
        <n v="98234"/>
        <n v="45546"/>
        <n v="12227"/>
        <n v="104079"/>
        <n v="64326"/>
        <n v="196898"/>
        <n v="95843"/>
        <n v="96429"/>
        <n v="36527"/>
        <n v="59940"/>
        <n v="2081"/>
        <n v="154134"/>
        <n v="67728"/>
        <n v="107877"/>
        <n v="108844"/>
        <n v="109432"/>
        <n v="29558"/>
        <n v="51320"/>
        <n v="122987"/>
        <n v="124215"/>
        <n v="46704"/>
        <n v="37823"/>
        <n v="78318"/>
        <n v="51667"/>
        <n v="38220"/>
        <n v="60314"/>
        <n v="142970"/>
        <n v="72159"/>
        <n v="63108"/>
        <n v="64274"/>
        <n v="48192"/>
        <n v="34378"/>
        <n v="44868"/>
        <n v="215530"/>
        <n v="192613"/>
        <n v="40819"/>
        <n v="80036"/>
        <n v="125520"/>
        <n v="140772"/>
        <n v="141818"/>
        <n v="142280"/>
        <n v="142509"/>
        <n v="143359"/>
        <n v="144093"/>
        <n v="145492"/>
        <n v="147323"/>
        <n v="148419"/>
        <n v="149477"/>
        <n v="224069"/>
        <n v="65974"/>
        <n v="83852"/>
        <n v="98196"/>
        <n v="100652"/>
        <n v="105936"/>
        <n v="107863"/>
        <n v="179930"/>
        <n v="180316"/>
        <n v="180882"/>
        <n v="181862"/>
        <n v="182426"/>
        <n v="183190"/>
        <n v="184482"/>
        <n v="89369"/>
        <n v="49092"/>
        <n v="210141"/>
        <n v="340508"/>
        <n v="122262"/>
        <n v="122782"/>
        <n v="123257"/>
        <n v="58215"/>
        <n v="60273"/>
        <n v="168905"/>
        <n v="170006"/>
        <n v="169707"/>
        <n v="169460"/>
        <n v="183370"/>
        <n v="95010"/>
        <n v="31474"/>
        <n v="52792"/>
        <n v="110594"/>
        <n v="112388"/>
        <n v="112540"/>
        <n v="15196"/>
        <n v="105979"/>
        <n v="318299"/>
        <n v="49004"/>
        <n v="361662"/>
        <n v="395738"/>
        <n v="398620"/>
        <n v="400379"/>
        <n v="143552"/>
        <n v="151465"/>
        <n v="121419"/>
        <n v="121710"/>
        <n v="79308"/>
        <n v="78799"/>
        <n v="22232"/>
        <n v="30877"/>
      </sharedItems>
    </cacheField>
    <cacheField name="PAGADO A OTRA INSTITUCION" numFmtId="42">
      <sharedItems containsString="0" containsBlank="1" containsNumber="1" containsInteger="1" minValue="0" maxValue="205820"/>
    </cacheField>
    <cacheField name="DIFERENCIA" numFmtId="42">
      <sharedItems containsString="0" containsBlank="1" containsNumber="1" containsInteger="1" minValue="1049" maxValue="227709"/>
    </cacheField>
    <cacheField name="MONTO INTERES " numFmtId="42">
      <sharedItems containsString="0" containsBlank="1" containsNumber="1" containsInteger="1" minValue="2144" maxValue="2768925"/>
    </cacheField>
    <cacheField name="FEE%" numFmtId="0">
      <sharedItems containsBlank="1" containsMixedTypes="1" containsNumber="1" containsInteger="1" minValue="88136" maxValue="718716"/>
    </cacheField>
    <cacheField name="Ultimo per cotz" numFmtId="0">
      <sharedItems containsBlank="1" containsMixedTypes="1" containsNumber="1" containsInteger="1" minValue="-4624" maxValue="298828"/>
    </cacheField>
    <cacheField name="Fecha Cese" numFmtId="0">
      <sharedItems containsBlank="1" containsMixedTypes="1" containsNumber="1" containsInteger="1" minValue="4855" maxValue="74300"/>
    </cacheField>
    <cacheField name="Codigo CC" numFmtId="0">
      <sharedItems containsNonDate="0" containsString="0" containsBlank="1"/>
    </cacheField>
    <cacheField name="CC" numFmtId="0">
      <sharedItems containsNonDate="0" containsString="0" containsBlank="1"/>
    </cacheField>
    <cacheField name="Analisis" numFmtId="0">
      <sharedItems containsNonDate="0" containsString="0" containsBlank="1"/>
    </cacheField>
    <cacheField name="Motivo" numFmtId="0">
      <sharedItems containsNonDate="0" containsString="0" containsBlank="1"/>
    </cacheField>
    <cacheField name="Documento a Solicitar" numFmtId="0">
      <sharedItems containsNonDate="0" containsString="0" containsBlank="1"/>
    </cacheField>
    <cacheField name="Estatus" numFmtId="0">
      <sharedItems containsNonDate="0" containsString="0" containsBlank="1"/>
    </cacheField>
    <cacheField name="Obs" numFmtId="0">
      <sharedItems containsNonDate="0" containsString="0" containsBlank="1"/>
    </cacheField>
    <cacheField name="27_ TIPO DOCUMENTO" numFmtId="0">
      <sharedItems containsNonDate="0" containsString="0" containsBlank="1"/>
    </cacheField>
    <cacheField name="28_ MOTIVO CARTA EXPLICATIVA" numFmtId="0">
      <sharedItems containsNonDate="0" containsString="0" containsBlank="1"/>
    </cacheField>
    <cacheField name="31_ FECHA DE ACCION" numFmtId="0">
      <sharedItems containsNonDate="0" containsString="0" containsBlank="1"/>
    </cacheField>
    <cacheField name="32_ ACCION" numFmtId="0">
      <sharedItems containsNonDate="0" containsString="0" containsBlank="1"/>
    </cacheField>
    <cacheField name="33_ FECHA DE ESTATUS" numFmtId="0">
      <sharedItems containsNonDate="0" containsString="0" containsBlank="1"/>
    </cacheField>
    <cacheField name="34_ ESTATUS" numFmtId="0">
      <sharedItems containsNonDate="0" containsString="0" containsBlank="1"/>
    </cacheField>
    <cacheField name="35_ 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" refreshedDate="46147.421809490741" createdVersion="8" refreshedVersion="8" minRefreshableVersion="3" recordCount="268" xr:uid="{00000000-000A-0000-FFFF-FFFF00000000}">
  <cacheSource type="worksheet">
    <worksheetSource ref="A1:S1" sheet="Base Isapre"/>
  </cacheSource>
  <cacheFields count="29">
    <cacheField name="RUT EMPRESA" numFmtId="0">
      <sharedItems containsBlank="1" count="16">
        <s v="76008993-1"/>
        <s v="76044521-5"/>
        <s v="76062760-7"/>
        <s v="76084008-4"/>
        <s v="76165723-2"/>
        <s v="76300156-3"/>
        <s v="76379560-8"/>
        <s v="76406450-K"/>
        <s v="76442007-1"/>
        <s v="76682710-1"/>
        <s v="77092706-4"/>
        <s v="77092709-9"/>
        <s v="77494224-6 "/>
        <s v="77853970-5"/>
        <s v="79816000-1"/>
        <m/>
      </sharedItems>
    </cacheField>
    <cacheField name="RAZON SOCIAL" numFmtId="0">
      <sharedItems containsBlank="1" count="16">
        <s v="INVERSIONES MONTREAL"/>
        <s v="EMPRESAS MARTA BID"/>
        <s v="INMOBILIARIA MARTABID SpA"/>
        <s v="FORESTAL CALGARY"/>
        <s v="INMOBILIARIA LOS CANALES SPA"/>
        <s v="CONSTRUCTORA LAVAL SpA"/>
        <s v="INMOBILIARIA BOSQUES DE ENTRE RIOS SPA"/>
        <s v="CANADAMAQ SpA"/>
        <s v="CONSTRUCTORA MANITOBA SPA"/>
        <s v="CANADA HOUSE S.A."/>
        <s v="INMOBILIARIA BALUART SPA"/>
        <s v="INMOBILARIA BRAMPTON SPA"/>
        <s v="INMOBIILARIA BELMONTE SPA"/>
        <s v="INMOBILARIA JOMAR SPA"/>
        <s v="CONSTRUCTORA JOMAR SpA"/>
        <m/>
      </sharedItems>
    </cacheField>
    <cacheField name="Rut afiliado" numFmtId="0">
      <sharedItems containsBlank="1"/>
    </cacheField>
    <cacheField name="Nombre afiliado" numFmtId="0">
      <sharedItems containsBlank="1"/>
    </cacheField>
    <cacheField name="Tipo producto" numFmtId="0">
      <sharedItems containsBlank="1"/>
    </cacheField>
    <cacheField name="INSTITUCION" numFmtId="0">
      <sharedItems containsBlank="1" count="5">
        <s v="Cruz Blanca"/>
        <s v="Nueva Masvida"/>
        <s v="Colmena"/>
        <s v="Consalud"/>
        <m/>
      </sharedItems>
    </cacheField>
    <cacheField name="Período a regularizar" numFmtId="0">
      <sharedItems containsDate="1" containsBlank="1" containsMixedTypes="1" minDate="2012-02-01T00:00:00" maxDate="2026-12-07T00:00:00" count="122">
        <s v="ND"/>
        <d v="2021-11-01T00:00:00"/>
        <d v="2022-09-01T00:00:00"/>
        <d v="2022-10-01T00:00:00"/>
        <d v="2022-11-01T00:00:00"/>
        <d v="2023-04-01T00:00:00"/>
        <d v="2023-05-01T00:00:00"/>
        <d v="2023-06-01T00:00:00"/>
        <d v="2020-04-01T00:00:00"/>
        <d v="2020-05-01T00:00:00"/>
        <d v="2020-06-01T00:00:00"/>
        <d v="2020-07-01T00:00:00"/>
        <d v="2020-12-01T00:00:00"/>
        <d v="2021-01-01T00:00:00"/>
        <d v="2021-02-01T00:00:00"/>
        <d v="2021-03-01T00:00:00"/>
        <d v="2021-06-01T00:00:00"/>
        <d v="2021-07-01T00:00:00"/>
        <d v="2013-07-01T00:00:00"/>
        <d v="2013-09-01T00:00:00"/>
        <d v="2018-03-01T00:00:00"/>
        <d v="2018-04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8-01T00:00:00"/>
        <d v="2014-10-01T00:00:00"/>
        <d v="2018-02-01T00:00:00"/>
        <d v="2022-05-01T00:00:00"/>
        <d v="2022-06-01T00:00:00"/>
        <d v="2020-08-01T00:00:00"/>
        <d v="2014-08-01T00:00:00"/>
        <d v="2014-09-01T00:00:00"/>
        <d v="2023-12-01T00:00:00"/>
        <d v="2024-03-01T00:00:00"/>
        <d v="2024-04-01T00:00:00"/>
        <d v="2017-06-01T00:00:00"/>
        <d v="2017-09-01T00:00:00"/>
        <d v="2017-10-01T00:00:00"/>
        <d v="2014-05-01T00:00:00"/>
        <d v="2014-06-01T00:00:00"/>
        <d v="2014-12-01T00:00:00"/>
        <d v="2015-01-01T00:00:00"/>
        <d v="2017-03-01T00:00:00"/>
        <d v="2017-04-01T00:00:00"/>
        <d v="2017-05-01T00:00:00"/>
        <d v="2016-08-01T00:00:00"/>
        <d v="2017-02-01T00:00:00"/>
        <d v="2025-10-01T00:00:00"/>
        <d v="2023-07-01T00:00:00"/>
        <d v="2021-10-01T00:00:00"/>
        <d v="2017-08-01T00:00:00"/>
        <d v="2017-11-01T00:00:00"/>
        <d v="2017-12-01T00:00:00"/>
        <d v="2018-01-01T00:00:00"/>
        <d v="2018-05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22-02-01T00:00:00"/>
        <d v="2022-03-01T00:00:00"/>
        <d v="2026-12-06T00:00:00"/>
        <d v="2020-10-01T00:00:00"/>
        <d v="2020-11-01T00:00:00"/>
        <d v="2019-11-01T00:00:00"/>
        <d v="2023-10-01T00:00:00"/>
        <d v="2016-11-01T00:00:00"/>
        <d v="2016-12-01T00:00:00"/>
        <d v="2017-01-01T00:00:00"/>
        <d v="2016-10-01T00:00:00"/>
        <d v="2016-09-01T00:00:00"/>
        <d v="2019-12-01T00:00:00"/>
        <d v="2021-05-01T00:00:00"/>
        <d v="2022-01-01T00:00:00"/>
        <d v="2021-08-01T00:00:00"/>
        <d v="2021-09-01T00:00:00"/>
        <d v="2021-12-01T00:00:00"/>
        <d v="2024-10-01T00:00:00"/>
        <d v="2024-09-01T00:00:00"/>
        <d v="2024-11-01T00:00:00"/>
        <d v="2024-12-01T00:00:00"/>
        <d v="2025-06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5-10-01T00:00:00"/>
        <d v="2015-09-01T00:00:00"/>
        <d v="2025-05-01T00:00:00"/>
        <d v="2012-02-01T00:00:00"/>
        <d v="2022-07-01T00:00:00"/>
        <d v="2023-08-01T00:00:00"/>
        <d v="2025-08-01T00:00:00"/>
        <d v="2025-01-01T00:00:00"/>
        <d v="2025-07-01T00:00:00"/>
        <d v="2025-09-01T00:00:00"/>
        <d v="2025-11-01T00:00:00"/>
        <d v="2025-12-01T00:00:00"/>
        <m/>
      </sharedItems>
    </cacheField>
    <cacheField name="PACTADO" numFmtId="42">
      <sharedItems containsString="0" containsBlank="1" containsNumber="1" containsInteger="1" minValue="2738" maxValue="536169"/>
    </cacheField>
    <cacheField name="PAGADO " numFmtId="42">
      <sharedItems containsString="0" containsBlank="1" containsNumber="1" containsInteger="1" minValue="0" maxValue="400379"/>
    </cacheField>
    <cacheField name="PAGADO A OTRA INSTITUCION" numFmtId="42">
      <sharedItems containsString="0" containsBlank="1" containsNumber="1" containsInteger="1" minValue="0" maxValue="205820"/>
    </cacheField>
    <cacheField name="DIFERENCIA" numFmtId="42">
      <sharedItems containsString="0" containsBlank="1" containsNumber="1" containsInteger="1" minValue="1049" maxValue="227709"/>
    </cacheField>
    <cacheField name="MONTO INTERES " numFmtId="42">
      <sharedItems containsString="0" containsBlank="1" containsNumber="1" containsInteger="1" minValue="2144" maxValue="2768925"/>
    </cacheField>
    <cacheField name="FEE%" numFmtId="0">
      <sharedItems containsBlank="1" containsMixedTypes="1" containsNumber="1" containsInteger="1" minValue="88136" maxValue="400379"/>
    </cacheField>
    <cacheField name="Ultimo per cotz" numFmtId="0">
      <sharedItems containsBlank="1" containsMixedTypes="1" containsNumber="1" containsInteger="1" minValue="-4624" maxValue="94197"/>
    </cacheField>
    <cacheField name="Fecha Cese" numFmtId="0">
      <sharedItems containsBlank="1" containsMixedTypes="1" containsNumber="1" containsInteger="1" minValue="4855" maxValue="74300"/>
    </cacheField>
    <cacheField name="Codigo CC" numFmtId="0">
      <sharedItems containsNonDate="0" containsString="0" containsBlank="1"/>
    </cacheField>
    <cacheField name="CC" numFmtId="0">
      <sharedItems containsNonDate="0" containsString="0" containsBlank="1"/>
    </cacheField>
    <cacheField name="Analisis" numFmtId="0">
      <sharedItems containsNonDate="0" containsString="0" containsBlank="1"/>
    </cacheField>
    <cacheField name="Motivo" numFmtId="0">
      <sharedItems containsNonDate="0" containsString="0" containsBlank="1"/>
    </cacheField>
    <cacheField name="Documento a Solicitar" numFmtId="0">
      <sharedItems containsNonDate="0" containsString="0" containsBlank="1"/>
    </cacheField>
    <cacheField name="Estatus" numFmtId="0">
      <sharedItems containsNonDate="0" containsString="0" containsBlank="1"/>
    </cacheField>
    <cacheField name="Obs" numFmtId="0">
      <sharedItems containsNonDate="0" containsString="0" containsBlank="1"/>
    </cacheField>
    <cacheField name="27_ TIPO DOCUMENTO" numFmtId="0">
      <sharedItems containsNonDate="0" containsString="0" containsBlank="1"/>
    </cacheField>
    <cacheField name="28_ MOTIVO CARTA EXPLICATIVA" numFmtId="0">
      <sharedItems containsNonDate="0" containsString="0" containsBlank="1"/>
    </cacheField>
    <cacheField name="31_ FECHA DE ACCION" numFmtId="0">
      <sharedItems containsNonDate="0" containsString="0" containsBlank="1"/>
    </cacheField>
    <cacheField name="32_ ACCION" numFmtId="0">
      <sharedItems containsNonDate="0" containsString="0" containsBlank="1"/>
    </cacheField>
    <cacheField name="33_ FECHA DE ESTATUS" numFmtId="0">
      <sharedItems containsNonDate="0" containsString="0" containsBlank="1"/>
    </cacheField>
    <cacheField name="34_ ESTATUS" numFmtId="0">
      <sharedItems containsNonDate="0" containsString="0" containsBlank="1" count="1">
        <m/>
      </sharedItems>
    </cacheField>
    <cacheField name="35_ 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" refreshedDate="46147.595816782406" createdVersion="8" refreshedVersion="8" minRefreshableVersion="3" recordCount="164" xr:uid="{00000000-000A-0000-FFFF-FFFF02000000}">
  <cacheSource type="worksheet">
    <worksheetSource ref="A1:T1048576" sheet="Base AFP"/>
  </cacheSource>
  <cacheFields count="22">
    <cacheField name="RUT_Empresa" numFmtId="0">
      <sharedItems containsBlank="1" count="17">
        <s v="76062760-7"/>
        <s v="76008993-1"/>
        <s v="76044521-5"/>
        <s v="76084008-4"/>
        <s v="76165723-2"/>
        <s v="76300156-3"/>
        <s v="76379560-8"/>
        <s v="76406450-K "/>
        <s v="76442007-1 "/>
        <s v="76682710-1 "/>
        <s v="77092706-4 "/>
        <s v="77092709-9 "/>
        <s v="77494224-6 "/>
        <s v="79816000-1"/>
        <s v="77535473-9"/>
        <s v="77853970-5"/>
        <m/>
      </sharedItems>
    </cacheField>
    <cacheField name="Razon_Social" numFmtId="0">
      <sharedItems containsBlank="1"/>
    </cacheField>
    <cacheField name="Rut afiliado" numFmtId="0">
      <sharedItems containsBlank="1"/>
    </cacheField>
    <cacheField name="Nombre afiliado" numFmtId="0">
      <sharedItems containsBlank="1"/>
    </cacheField>
    <cacheField name="Tipo producto" numFmtId="0">
      <sharedItems containsBlank="1"/>
    </cacheField>
    <cacheField name="AFP ó AFC" numFmtId="0">
      <sharedItems containsBlank="1" count="10">
        <s v="AFP Habitat"/>
        <s v="AFC"/>
        <s v="AFP Capital"/>
        <s v="AFP Cuprum"/>
        <s v="AFP Modelo "/>
        <s v="AFP PlanVital"/>
        <s v="AFP Provida"/>
        <s v="AFP Uno "/>
        <s v="AFP Modelo"/>
        <m/>
      </sharedItems>
    </cacheField>
    <cacheField name="Período a regularizar" numFmtId="0">
      <sharedItems containsDate="1" containsBlank="1" containsMixedTypes="1" minDate="2009-11-01T00:00:00" maxDate="2025-12-02T00:00:00"/>
    </cacheField>
    <cacheField name="Monto Nominal" numFmtId="0">
      <sharedItems containsString="0" containsBlank="1" containsNumber="1" containsInteger="1" minValue="126" maxValue="886800"/>
    </cacheField>
    <cacheField name="Monto Interes " numFmtId="0">
      <sharedItems containsString="0" containsBlank="1" containsNumber="1" containsInteger="1" minValue="4224" maxValue="969264"/>
    </cacheField>
    <cacheField name="FEE%_MONTO" numFmtId="0">
      <sharedItems containsString="0" containsBlank="1" containsNumber="1" minValue="2816" maxValue="57783.199999999997"/>
    </cacheField>
    <cacheField name="Tipo deuda" numFmtId="0">
      <sharedItems containsNonDate="0" containsString="0" containsBlank="1"/>
    </cacheField>
    <cacheField name="22_ FEE% MONTO" numFmtId="0">
      <sharedItems containsNonDate="0" containsString="0" containsBlank="1"/>
    </cacheField>
    <cacheField name="Fecha cese" numFmtId="0">
      <sharedItems containsNonDate="0" containsString="0" containsBlank="1"/>
    </cacheField>
    <cacheField name="Ultimo per cotz" numFmtId="0">
      <sharedItems containsNonDate="0" containsString="0" containsBlank="1"/>
    </cacheField>
    <cacheField name="25_ ANALISIS" numFmtId="0">
      <sharedItems containsNonDate="0" containsString="0" containsBlank="1"/>
    </cacheField>
    <cacheField name="Periodo(s)" numFmtId="0">
      <sharedItems containsNonDate="0" containsString="0" containsBlank="1"/>
    </cacheField>
    <cacheField name="26_ MOTIVOS DE DEUDA" numFmtId="0">
      <sharedItems containsNonDate="0" containsString="0" containsBlank="1"/>
    </cacheField>
    <cacheField name="27_ TIPO DOCUMENTO" numFmtId="0">
      <sharedItems containsNonDate="0" containsString="0" containsBlank="1"/>
    </cacheField>
    <cacheField name="28_ MOTIVO CARTA EXPLICATIVA" numFmtId="0">
      <sharedItems containsNonDate="0" containsString="0" containsBlank="1"/>
    </cacheField>
    <cacheField name="32_ ACCION" numFmtId="0">
      <sharedItems containsNonDate="0" containsString="0" containsBlank="1"/>
    </cacheField>
    <cacheField name="34_ ESTATUS" numFmtId="0">
      <sharedItems containsBlank="1" count="2">
        <s v="Enviar a Gestionar"/>
        <m/>
      </sharedItems>
    </cacheField>
    <cacheField name="35_ 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" refreshedDate="46150.534739351853" createdVersion="8" refreshedVersion="8" minRefreshableVersion="3" recordCount="266" xr:uid="{00000000-000A-0000-FFFF-FFFF04000000}">
  <cacheSource type="worksheet">
    <worksheetSource ref="A1:S1" sheet="Base Isapre"/>
  </cacheSource>
  <cacheFields count="29">
    <cacheField name="RUT EMPRESA" numFmtId="0">
      <sharedItems count="15">
        <s v="76008993-1"/>
        <s v="76044521-5"/>
        <s v="76062760-7"/>
        <s v="76084008-4"/>
        <s v="76165723-2"/>
        <s v="76300156-3"/>
        <s v="76379560-8"/>
        <s v="76406450-K"/>
        <s v="76442007-1"/>
        <s v="76682710-1"/>
        <s v="77092706-4"/>
        <s v="77092709-9"/>
        <s v="77494224-6 "/>
        <s v="77853970-5"/>
        <s v="79816000-1"/>
      </sharedItems>
    </cacheField>
    <cacheField name="RAZON SOCIAL" numFmtId="0">
      <sharedItems count="15">
        <s v="INVERSIONES MONTREAL"/>
        <s v="EMPRESAS MARTA BID"/>
        <s v="INMOBILIARIA MARTABID SpA"/>
        <s v="FORESTAL CALGARY"/>
        <s v="INMOBILIARIA LOS CANALES SPA"/>
        <s v="CONSTRUCTORA LAVAL SpA"/>
        <s v="INMOBILIARIA BOSQUES DE ENTRE RIOS SPA"/>
        <s v="CANADAMAQ SpA"/>
        <s v="CONSTRUCTORA MANITOBA SPA"/>
        <s v="CANADA HOUSE S.A."/>
        <s v="INMOBILIARIA BALUART SPA"/>
        <s v="INMOBILARIA BRAMPTON SPA"/>
        <s v="INMOBIILARIA BELMONTE SPA"/>
        <s v="INMOBILARIA JOMAR SPA"/>
        <s v="CONSTRUCTORA JOMAR SpA"/>
      </sharedItems>
    </cacheField>
    <cacheField name="Rut afiliado" numFmtId="0">
      <sharedItems/>
    </cacheField>
    <cacheField name="Nombre afiliado" numFmtId="0">
      <sharedItems/>
    </cacheField>
    <cacheField name="Tipo producto" numFmtId="0">
      <sharedItems/>
    </cacheField>
    <cacheField name="INSTITUCION" numFmtId="0">
      <sharedItems count="4">
        <s v="Cruz Blanca"/>
        <s v="Nueva Masvida"/>
        <s v="Colmena"/>
        <s v="Consalud"/>
      </sharedItems>
    </cacheField>
    <cacheField name="Período a regularizar" numFmtId="0">
      <sharedItems containsDate="1" containsMixedTypes="1" minDate="2012-02-01T00:00:00" maxDate="2026-12-07T00:00:00"/>
    </cacheField>
    <cacheField name="PACTADO" numFmtId="42">
      <sharedItems containsString="0" containsBlank="1" containsNumber="1" containsInteger="1" minValue="2738" maxValue="536169"/>
    </cacheField>
    <cacheField name="PAGADO " numFmtId="42">
      <sharedItems containsString="0" containsBlank="1" containsNumber="1" containsInteger="1" minValue="0" maxValue="400379"/>
    </cacheField>
    <cacheField name="PAGADO A OTRA INSTITUCION" numFmtId="42">
      <sharedItems containsString="0" containsBlank="1" containsNumber="1" containsInteger="1" minValue="0" maxValue="205820"/>
    </cacheField>
    <cacheField name="DIFERENCIA" numFmtId="42">
      <sharedItems containsString="0" containsBlank="1" containsNumber="1" containsInteger="1" minValue="1049" maxValue="227709"/>
    </cacheField>
    <cacheField name="MONTO INTERES " numFmtId="42">
      <sharedItems containsString="0" containsBlank="1" containsNumber="1" containsInteger="1" minValue="2144" maxValue="2768925"/>
    </cacheField>
    <cacheField name="FEE%" numFmtId="0">
      <sharedItems containsBlank="1" containsMixedTypes="1" containsNumber="1" containsInteger="1" minValue="88136" maxValue="400379"/>
    </cacheField>
    <cacheField name="Ultimo per cotz" numFmtId="0">
      <sharedItems containsBlank="1" containsMixedTypes="1" containsNumber="1" containsInteger="1" minValue="-4624" maxValue="94197"/>
    </cacheField>
    <cacheField name="Fecha Cese" numFmtId="0">
      <sharedItems containsBlank="1" containsMixedTypes="1" containsNumber="1" containsInteger="1" minValue="38198" maxValue="74300"/>
    </cacheField>
    <cacheField name="Codigo CC" numFmtId="0">
      <sharedItems containsNonDate="0" containsString="0" containsBlank="1"/>
    </cacheField>
    <cacheField name="CC" numFmtId="0">
      <sharedItems containsNonDate="0" containsString="0" containsBlank="1"/>
    </cacheField>
    <cacheField name="Analisis" numFmtId="0">
      <sharedItems containsNonDate="0" containsString="0" containsBlank="1"/>
    </cacheField>
    <cacheField name="Motivo" numFmtId="0">
      <sharedItems containsNonDate="0" containsString="0" containsBlank="1"/>
    </cacheField>
    <cacheField name="Documento a Solicitar" numFmtId="0">
      <sharedItems containsNonDate="0" containsString="0" containsBlank="1"/>
    </cacheField>
    <cacheField name="Estatus" numFmtId="0">
      <sharedItems containsNonDate="0" containsString="0" containsBlank="1"/>
    </cacheField>
    <cacheField name="Obs" numFmtId="0">
      <sharedItems containsNonDate="0" containsString="0" containsBlank="1"/>
    </cacheField>
    <cacheField name="27_ TIPO DOCUMENTO" numFmtId="0">
      <sharedItems containsNonDate="0" containsString="0" containsBlank="1"/>
    </cacheField>
    <cacheField name="28_ MOTIVO CARTA EXPLICATIVA" numFmtId="0">
      <sharedItems containsNonDate="0" containsString="0" containsBlank="1"/>
    </cacheField>
    <cacheField name="31_ FECHA DE ACCION" numFmtId="0">
      <sharedItems containsNonDate="0" containsString="0" containsBlank="1"/>
    </cacheField>
    <cacheField name="32_ ACCION" numFmtId="0">
      <sharedItems containsNonDate="0" containsString="0" containsBlank="1"/>
    </cacheField>
    <cacheField name="33_ FECHA DE ESTATUS" numFmtId="0">
      <sharedItems containsNonDate="0" containsString="0" containsBlank="1"/>
    </cacheField>
    <cacheField name="34_ ESTATUS" numFmtId="0">
      <sharedItems containsNonDate="0" containsString="0" containsBlank="1"/>
    </cacheField>
    <cacheField name="35_ 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63">
  <r>
    <x v="0"/>
    <x v="0"/>
    <s v="13579555-0"/>
    <s v="PATRICIO HERNAN GONZALEZ PANES"/>
    <s v="DNPA"/>
    <x v="0"/>
    <d v="2025-11-01T00:00:00"/>
    <n v="30000"/>
    <n v="31449"/>
    <n v="6289.8"/>
    <m/>
    <m/>
    <m/>
    <m/>
    <m/>
    <m/>
    <m/>
    <m/>
    <m/>
    <m/>
    <s v="Enviar a Gestionar"/>
    <m/>
  </r>
  <r>
    <x v="0"/>
    <x v="0"/>
    <s v="13579555-0"/>
    <s v="PATRICIO HERNAN GONZALEZ PANES"/>
    <s v="DNPA"/>
    <x v="0"/>
    <d v="2025-12-01T00:00:00"/>
    <n v="30000"/>
    <n v="31122"/>
    <n v="6224.400000000001"/>
    <m/>
    <m/>
    <m/>
    <m/>
    <m/>
    <m/>
    <m/>
    <m/>
    <m/>
    <m/>
    <s v="Enviar a Gestionar"/>
    <m/>
  </r>
  <r>
    <x v="0"/>
    <x v="0"/>
    <s v="ND"/>
    <s v="ND"/>
    <s v="ND"/>
    <x v="1"/>
    <s v="ND"/>
    <m/>
    <m/>
    <m/>
    <m/>
    <m/>
    <m/>
    <m/>
    <m/>
    <m/>
    <m/>
    <m/>
    <m/>
    <m/>
    <m/>
    <m/>
  </r>
  <r>
    <x v="0"/>
    <x v="0"/>
    <s v="ND"/>
    <s v="ND"/>
    <s v="ND"/>
    <x v="2"/>
    <s v="ND"/>
    <m/>
    <m/>
    <m/>
    <m/>
    <m/>
    <m/>
    <m/>
    <m/>
    <m/>
    <m/>
    <m/>
    <m/>
    <m/>
    <m/>
    <m/>
  </r>
  <r>
    <x v="0"/>
    <x v="0"/>
    <m/>
    <s v="ND"/>
    <s v="ND"/>
    <x v="3"/>
    <s v="ND"/>
    <m/>
    <m/>
    <m/>
    <m/>
    <m/>
    <m/>
    <m/>
    <m/>
    <m/>
    <m/>
    <m/>
    <m/>
    <m/>
    <m/>
    <m/>
  </r>
  <r>
    <x v="0"/>
    <x v="0"/>
    <s v="ND"/>
    <s v="ND"/>
    <s v="ND"/>
    <x v="4"/>
    <s v="ND"/>
    <m/>
    <m/>
    <m/>
    <m/>
    <m/>
    <m/>
    <m/>
    <m/>
    <m/>
    <m/>
    <m/>
    <m/>
    <m/>
    <m/>
    <m/>
  </r>
  <r>
    <x v="0"/>
    <x v="0"/>
    <s v="ND"/>
    <s v="ND"/>
    <s v="ND"/>
    <x v="5"/>
    <s v="ND"/>
    <m/>
    <m/>
    <m/>
    <m/>
    <m/>
    <m/>
    <m/>
    <m/>
    <m/>
    <m/>
    <m/>
    <m/>
    <m/>
    <m/>
    <m/>
  </r>
  <r>
    <x v="0"/>
    <x v="0"/>
    <s v="ND"/>
    <s v="ND"/>
    <s v="ND"/>
    <x v="6"/>
    <s v="ND"/>
    <m/>
    <m/>
    <m/>
    <m/>
    <m/>
    <m/>
    <m/>
    <m/>
    <m/>
    <m/>
    <m/>
    <m/>
    <m/>
    <m/>
    <m/>
  </r>
  <r>
    <x v="0"/>
    <x v="0"/>
    <s v="ND"/>
    <s v="ND"/>
    <s v="ND"/>
    <x v="7"/>
    <s v="ND"/>
    <m/>
    <m/>
    <m/>
    <m/>
    <m/>
    <m/>
    <m/>
    <m/>
    <m/>
    <m/>
    <m/>
    <m/>
    <m/>
    <m/>
    <m/>
  </r>
  <r>
    <x v="1"/>
    <x v="1"/>
    <s v="ND"/>
    <s v="ND"/>
    <s v="ND"/>
    <x v="1"/>
    <s v="ND"/>
    <m/>
    <m/>
    <m/>
    <m/>
    <m/>
    <m/>
    <m/>
    <m/>
    <m/>
    <m/>
    <m/>
    <m/>
    <m/>
    <m/>
    <m/>
  </r>
  <r>
    <x v="1"/>
    <x v="1"/>
    <s v="ND"/>
    <s v="ND"/>
    <s v="ND"/>
    <x v="2"/>
    <s v="ND"/>
    <m/>
    <m/>
    <m/>
    <m/>
    <m/>
    <m/>
    <m/>
    <m/>
    <m/>
    <m/>
    <m/>
    <m/>
    <m/>
    <m/>
    <m/>
  </r>
  <r>
    <x v="1"/>
    <x v="1"/>
    <s v="ND"/>
    <s v="ND"/>
    <s v="ND"/>
    <x v="3"/>
    <s v="ND"/>
    <m/>
    <m/>
    <m/>
    <m/>
    <m/>
    <m/>
    <m/>
    <m/>
    <m/>
    <m/>
    <m/>
    <m/>
    <m/>
    <m/>
    <m/>
  </r>
  <r>
    <x v="1"/>
    <x v="1"/>
    <s v="ND"/>
    <s v="ND"/>
    <s v="ND"/>
    <x v="0"/>
    <s v="ND"/>
    <m/>
    <m/>
    <m/>
    <m/>
    <m/>
    <m/>
    <m/>
    <m/>
    <m/>
    <m/>
    <m/>
    <m/>
    <m/>
    <m/>
    <m/>
  </r>
  <r>
    <x v="1"/>
    <x v="1"/>
    <s v="ND"/>
    <s v="ND"/>
    <s v="ND"/>
    <x v="4"/>
    <s v="ND"/>
    <m/>
    <m/>
    <m/>
    <m/>
    <m/>
    <m/>
    <m/>
    <m/>
    <m/>
    <m/>
    <m/>
    <m/>
    <m/>
    <m/>
    <m/>
  </r>
  <r>
    <x v="1"/>
    <x v="1"/>
    <s v="ND"/>
    <s v="ND"/>
    <s v="ND"/>
    <x v="5"/>
    <s v="ND"/>
    <m/>
    <m/>
    <m/>
    <m/>
    <m/>
    <m/>
    <m/>
    <m/>
    <m/>
    <m/>
    <m/>
    <m/>
    <m/>
    <m/>
    <m/>
  </r>
  <r>
    <x v="1"/>
    <x v="1"/>
    <s v="ND"/>
    <s v="ND"/>
    <s v="ND"/>
    <x v="6"/>
    <s v="ND"/>
    <m/>
    <m/>
    <m/>
    <m/>
    <m/>
    <m/>
    <m/>
    <m/>
    <m/>
    <m/>
    <m/>
    <m/>
    <m/>
    <m/>
    <m/>
  </r>
  <r>
    <x v="1"/>
    <x v="1"/>
    <s v="ND"/>
    <s v="ND"/>
    <s v="ND"/>
    <x v="7"/>
    <s v="ND"/>
    <m/>
    <m/>
    <m/>
    <m/>
    <m/>
    <m/>
    <m/>
    <m/>
    <m/>
    <m/>
    <m/>
    <m/>
    <m/>
    <m/>
    <m/>
  </r>
  <r>
    <x v="2"/>
    <x v="2"/>
    <s v="ND"/>
    <s v="ND"/>
    <s v="ND"/>
    <x v="1"/>
    <s v="ND"/>
    <m/>
    <m/>
    <m/>
    <m/>
    <m/>
    <m/>
    <m/>
    <m/>
    <m/>
    <m/>
    <m/>
    <m/>
    <m/>
    <m/>
    <m/>
  </r>
  <r>
    <x v="2"/>
    <x v="2"/>
    <s v="ND"/>
    <s v="ND"/>
    <s v="ND"/>
    <x v="2"/>
    <s v="ND"/>
    <m/>
    <m/>
    <m/>
    <m/>
    <m/>
    <m/>
    <m/>
    <m/>
    <m/>
    <m/>
    <m/>
    <m/>
    <m/>
    <m/>
    <m/>
  </r>
  <r>
    <x v="2"/>
    <x v="2"/>
    <s v="ND"/>
    <s v="ND"/>
    <s v="ND"/>
    <x v="3"/>
    <s v="ND"/>
    <m/>
    <m/>
    <m/>
    <m/>
    <m/>
    <m/>
    <m/>
    <m/>
    <m/>
    <m/>
    <m/>
    <m/>
    <m/>
    <m/>
    <m/>
  </r>
  <r>
    <x v="2"/>
    <x v="2"/>
    <s v="ND"/>
    <s v="ND"/>
    <s v="ND"/>
    <x v="0"/>
    <s v="ND"/>
    <m/>
    <m/>
    <m/>
    <m/>
    <m/>
    <m/>
    <m/>
    <m/>
    <m/>
    <m/>
    <m/>
    <m/>
    <m/>
    <m/>
    <m/>
  </r>
  <r>
    <x v="2"/>
    <x v="2"/>
    <s v="ND"/>
    <s v="ND"/>
    <s v="ND"/>
    <x v="4"/>
    <s v="ND"/>
    <m/>
    <m/>
    <m/>
    <m/>
    <m/>
    <m/>
    <m/>
    <m/>
    <m/>
    <m/>
    <m/>
    <m/>
    <m/>
    <m/>
    <m/>
  </r>
  <r>
    <x v="2"/>
    <x v="2"/>
    <s v="ND"/>
    <s v="ND"/>
    <s v="ND"/>
    <x v="5"/>
    <s v="ND"/>
    <m/>
    <m/>
    <m/>
    <m/>
    <m/>
    <m/>
    <m/>
    <m/>
    <m/>
    <m/>
    <m/>
    <m/>
    <m/>
    <m/>
    <m/>
  </r>
  <r>
    <x v="2"/>
    <x v="2"/>
    <s v="ND"/>
    <s v="ND"/>
    <s v="ND"/>
    <x v="6"/>
    <s v="ND"/>
    <m/>
    <m/>
    <m/>
    <m/>
    <m/>
    <m/>
    <m/>
    <m/>
    <m/>
    <m/>
    <m/>
    <m/>
    <m/>
    <m/>
    <m/>
  </r>
  <r>
    <x v="2"/>
    <x v="2"/>
    <s v="ND"/>
    <s v="ND"/>
    <s v="ND"/>
    <x v="7"/>
    <s v="ND"/>
    <m/>
    <m/>
    <m/>
    <m/>
    <m/>
    <m/>
    <m/>
    <m/>
    <m/>
    <m/>
    <m/>
    <m/>
    <m/>
    <m/>
    <m/>
  </r>
  <r>
    <x v="3"/>
    <x v="3"/>
    <s v="ND"/>
    <s v="ND"/>
    <s v="ND"/>
    <x v="1"/>
    <s v="ND"/>
    <m/>
    <m/>
    <m/>
    <m/>
    <m/>
    <m/>
    <m/>
    <m/>
    <m/>
    <m/>
    <m/>
    <m/>
    <m/>
    <m/>
    <m/>
  </r>
  <r>
    <x v="3"/>
    <x v="3"/>
    <s v="ND"/>
    <s v="ND"/>
    <s v="ND"/>
    <x v="3"/>
    <s v="ND"/>
    <m/>
    <m/>
    <m/>
    <m/>
    <m/>
    <m/>
    <m/>
    <m/>
    <m/>
    <m/>
    <m/>
    <m/>
    <m/>
    <m/>
    <m/>
  </r>
  <r>
    <x v="3"/>
    <x v="3"/>
    <s v="ND"/>
    <s v="ND"/>
    <s v="ND"/>
    <x v="0"/>
    <s v="ND"/>
    <m/>
    <m/>
    <m/>
    <m/>
    <m/>
    <m/>
    <m/>
    <m/>
    <m/>
    <m/>
    <m/>
    <m/>
    <m/>
    <m/>
    <m/>
  </r>
  <r>
    <x v="4"/>
    <x v="4"/>
    <s v="ND"/>
    <s v="ND"/>
    <s v="ND"/>
    <x v="1"/>
    <s v="ND"/>
    <m/>
    <m/>
    <m/>
    <m/>
    <m/>
    <m/>
    <m/>
    <m/>
    <m/>
    <m/>
    <m/>
    <m/>
    <m/>
    <m/>
    <m/>
  </r>
  <r>
    <x v="4"/>
    <x v="4"/>
    <s v="ND"/>
    <s v="ND"/>
    <s v="ND"/>
    <x v="2"/>
    <s v="ND"/>
    <m/>
    <m/>
    <m/>
    <m/>
    <m/>
    <m/>
    <m/>
    <m/>
    <m/>
    <m/>
    <m/>
    <m/>
    <m/>
    <m/>
    <m/>
  </r>
  <r>
    <x v="4"/>
    <x v="4"/>
    <s v="ND"/>
    <s v="ND"/>
    <s v="ND"/>
    <x v="3"/>
    <s v="ND"/>
    <m/>
    <m/>
    <m/>
    <m/>
    <m/>
    <m/>
    <m/>
    <m/>
    <m/>
    <m/>
    <m/>
    <m/>
    <m/>
    <m/>
    <m/>
  </r>
  <r>
    <x v="4"/>
    <x v="4"/>
    <s v="ND"/>
    <s v="ND"/>
    <s v="ND"/>
    <x v="4"/>
    <s v="ND"/>
    <m/>
    <m/>
    <m/>
    <m/>
    <m/>
    <m/>
    <m/>
    <m/>
    <m/>
    <m/>
    <m/>
    <m/>
    <m/>
    <m/>
    <m/>
  </r>
  <r>
    <x v="4"/>
    <x v="4"/>
    <s v="ND"/>
    <s v="ND"/>
    <s v="ND"/>
    <x v="5"/>
    <s v="ND"/>
    <m/>
    <m/>
    <m/>
    <m/>
    <m/>
    <m/>
    <m/>
    <m/>
    <m/>
    <m/>
    <m/>
    <m/>
    <m/>
    <m/>
    <m/>
  </r>
  <r>
    <x v="4"/>
    <x v="4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1"/>
    <s v="ND"/>
    <m/>
    <m/>
    <m/>
    <m/>
    <m/>
    <m/>
    <m/>
    <m/>
    <m/>
    <m/>
    <m/>
    <m/>
    <m/>
    <m/>
    <m/>
  </r>
  <r>
    <x v="5"/>
    <x v="5"/>
    <s v="ND"/>
    <s v="ND"/>
    <s v="ND"/>
    <x v="2"/>
    <s v="ND"/>
    <m/>
    <m/>
    <m/>
    <m/>
    <m/>
    <m/>
    <m/>
    <m/>
    <m/>
    <m/>
    <m/>
    <m/>
    <m/>
    <m/>
    <m/>
  </r>
  <r>
    <x v="5"/>
    <x v="5"/>
    <s v="ND"/>
    <s v="ND"/>
    <s v="ND"/>
    <x v="3"/>
    <s v="ND"/>
    <m/>
    <m/>
    <m/>
    <m/>
    <m/>
    <m/>
    <m/>
    <m/>
    <m/>
    <m/>
    <m/>
    <m/>
    <m/>
    <m/>
    <m/>
  </r>
  <r>
    <x v="5"/>
    <x v="5"/>
    <s v="8725329-5"/>
    <s v="ROBERTO ALEJANDRO "/>
    <s v="COBXDIF"/>
    <x v="0"/>
    <d v="2017-01-01T00:00:00"/>
    <n v="10462"/>
    <n v="194067"/>
    <m/>
    <m/>
    <m/>
    <m/>
    <m/>
    <m/>
    <m/>
    <m/>
    <m/>
    <m/>
    <m/>
    <m/>
    <m/>
  </r>
  <r>
    <x v="5"/>
    <x v="5"/>
    <s v="8725329-5"/>
    <s v="ROBERTO ALEJANDRO "/>
    <s v="COBXDIF"/>
    <x v="0"/>
    <d v="2017-02-01T00:00:00"/>
    <n v="28170"/>
    <n v="513613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3-01T00:00:00"/>
    <n v="28256"/>
    <n v="512061"/>
    <m/>
    <m/>
    <m/>
    <m/>
    <m/>
    <m/>
    <m/>
    <m/>
    <m/>
    <m/>
    <m/>
    <m/>
    <m/>
  </r>
  <r>
    <x v="5"/>
    <x v="5"/>
    <s v="8725329-5"/>
    <s v="ROBERTO ALEJANDRO "/>
    <s v="COBXDIF"/>
    <x v="0"/>
    <d v="2017-03-01T00:00:00"/>
    <n v="22447"/>
    <n v="401305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4-01T00:00:00"/>
    <n v="28351"/>
    <n v="503956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5-01T00:00:00"/>
    <n v="28426"/>
    <n v="494530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6-01T00:00:00"/>
    <n v="28463"/>
    <n v="486197"/>
    <m/>
    <m/>
    <m/>
    <m/>
    <m/>
    <m/>
    <m/>
    <m/>
    <m/>
    <m/>
    <m/>
    <m/>
    <m/>
  </r>
  <r>
    <x v="5"/>
    <x v="5"/>
    <s v="ND"/>
    <s v="ND"/>
    <s v="ND"/>
    <x v="4"/>
    <s v="ND"/>
    <m/>
    <m/>
    <m/>
    <m/>
    <m/>
    <m/>
    <m/>
    <m/>
    <m/>
    <m/>
    <m/>
    <m/>
    <m/>
    <m/>
    <m/>
  </r>
  <r>
    <x v="5"/>
    <x v="5"/>
    <s v="9812849-2"/>
    <s v="CAMPOS CHAVARRIGA JOSE REMIGINIO"/>
    <s v="DNPA"/>
    <x v="5"/>
    <d v="2025-08-01T00:00:00"/>
    <n v="101694"/>
    <n v="107709"/>
    <n v="21541.8"/>
    <m/>
    <m/>
    <m/>
    <m/>
    <m/>
    <m/>
    <m/>
    <m/>
    <m/>
    <m/>
    <s v="Enviar a Gestionar"/>
    <m/>
  </r>
  <r>
    <x v="5"/>
    <x v="5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7"/>
    <s v="ND"/>
    <m/>
    <m/>
    <m/>
    <m/>
    <m/>
    <m/>
    <m/>
    <m/>
    <m/>
    <m/>
    <m/>
    <m/>
    <m/>
    <m/>
    <m/>
  </r>
  <r>
    <x v="6"/>
    <x v="6"/>
    <s v="ND"/>
    <s v="ND"/>
    <s v="ND"/>
    <x v="1"/>
    <s v="ND"/>
    <m/>
    <m/>
    <m/>
    <m/>
    <m/>
    <m/>
    <m/>
    <m/>
    <m/>
    <m/>
    <m/>
    <m/>
    <m/>
    <m/>
    <m/>
  </r>
  <r>
    <x v="6"/>
    <x v="6"/>
    <s v="ND"/>
    <s v="ND"/>
    <s v="ND"/>
    <x v="2"/>
    <s v="ND"/>
    <m/>
    <m/>
    <m/>
    <m/>
    <m/>
    <m/>
    <m/>
    <m/>
    <m/>
    <m/>
    <m/>
    <m/>
    <m/>
    <m/>
    <m/>
  </r>
  <r>
    <x v="6"/>
    <x v="6"/>
    <s v="ND"/>
    <s v="ND"/>
    <s v="ND"/>
    <x v="3"/>
    <s v="ND"/>
    <m/>
    <m/>
    <m/>
    <m/>
    <m/>
    <m/>
    <m/>
    <m/>
    <m/>
    <m/>
    <m/>
    <m/>
    <m/>
    <m/>
    <m/>
  </r>
  <r>
    <x v="6"/>
    <x v="6"/>
    <s v="17528835-K"/>
    <s v="CONSTANZA VALERIA"/>
    <s v="DNPA"/>
    <x v="0"/>
    <d v="2025-10-01T00:00:00"/>
    <n v="15000"/>
    <n v="15827"/>
    <n v="3165.4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1-01T00:00:00"/>
    <n v="15000"/>
    <n v="15725"/>
    <n v="3145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2-01T00:00:00"/>
    <n v="15000"/>
    <n v="15561"/>
    <n v="3112.2"/>
    <m/>
    <m/>
    <m/>
    <m/>
    <m/>
    <m/>
    <m/>
    <m/>
    <m/>
    <m/>
    <s v="Enviar a Gestionar"/>
    <m/>
  </r>
  <r>
    <x v="6"/>
    <x v="6"/>
    <s v="ND"/>
    <s v="ND"/>
    <s v="ND"/>
    <x v="4"/>
    <s v="ND"/>
    <m/>
    <m/>
    <m/>
    <m/>
    <m/>
    <m/>
    <m/>
    <m/>
    <m/>
    <m/>
    <m/>
    <m/>
    <m/>
    <m/>
    <m/>
  </r>
  <r>
    <x v="6"/>
    <x v="6"/>
    <s v="ND"/>
    <s v="ND"/>
    <s v="ND"/>
    <x v="5"/>
    <s v="ND"/>
    <m/>
    <m/>
    <m/>
    <m/>
    <m/>
    <m/>
    <m/>
    <m/>
    <m/>
    <m/>
    <m/>
    <m/>
    <m/>
    <m/>
    <m/>
  </r>
  <r>
    <x v="6"/>
    <x v="6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1"/>
    <s v="ND"/>
    <m/>
    <m/>
    <m/>
    <m/>
    <m/>
    <m/>
    <m/>
    <m/>
    <m/>
    <m/>
    <m/>
    <m/>
    <m/>
    <m/>
    <m/>
  </r>
  <r>
    <x v="7"/>
    <x v="7"/>
    <s v="ND"/>
    <s v="ND"/>
    <s v="ND"/>
    <x v="2"/>
    <s v="ND"/>
    <m/>
    <m/>
    <m/>
    <m/>
    <m/>
    <m/>
    <m/>
    <m/>
    <m/>
    <m/>
    <m/>
    <m/>
    <m/>
    <m/>
    <m/>
  </r>
  <r>
    <x v="7"/>
    <x v="7"/>
    <s v="ND"/>
    <s v="ND"/>
    <s v="ND"/>
    <x v="3"/>
    <s v="ND"/>
    <m/>
    <m/>
    <m/>
    <m/>
    <m/>
    <m/>
    <m/>
    <m/>
    <m/>
    <m/>
    <m/>
    <m/>
    <m/>
    <m/>
    <m/>
  </r>
  <r>
    <x v="7"/>
    <x v="7"/>
    <s v="ND"/>
    <s v="ND"/>
    <s v="ND"/>
    <x v="0"/>
    <s v="ND"/>
    <m/>
    <m/>
    <m/>
    <m/>
    <m/>
    <m/>
    <m/>
    <m/>
    <m/>
    <m/>
    <m/>
    <m/>
    <m/>
    <m/>
    <m/>
  </r>
  <r>
    <x v="7"/>
    <x v="7"/>
    <s v="ND"/>
    <s v="ND"/>
    <s v="ND"/>
    <x v="8"/>
    <s v="ND"/>
    <m/>
    <m/>
    <m/>
    <m/>
    <m/>
    <m/>
    <m/>
    <m/>
    <m/>
    <m/>
    <m/>
    <m/>
    <m/>
    <m/>
    <m/>
  </r>
  <r>
    <x v="7"/>
    <x v="7"/>
    <s v="11129346-5"/>
    <s v="URIBE CHANDIA LEMUEL LAZARO"/>
    <s v="DNPA"/>
    <x v="5"/>
    <d v="2025-08-01T00:00:00"/>
    <n v="138359"/>
    <n v="145806"/>
    <n v="29161.2"/>
    <m/>
    <m/>
    <m/>
    <m/>
    <m/>
    <m/>
    <m/>
    <m/>
    <m/>
    <m/>
    <s v="Enviar a Gestionar"/>
    <m/>
  </r>
  <r>
    <x v="7"/>
    <x v="7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7"/>
    <s v="ND"/>
    <m/>
    <m/>
    <m/>
    <m/>
    <m/>
    <m/>
    <m/>
    <m/>
    <m/>
    <m/>
    <m/>
    <m/>
    <m/>
    <m/>
    <m/>
  </r>
  <r>
    <x v="8"/>
    <x v="8"/>
    <s v="ND"/>
    <s v="ND"/>
    <s v="ND"/>
    <x v="1"/>
    <s v="ND"/>
    <m/>
    <m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1-01T00:00:00"/>
    <n v="19373"/>
    <n v="293429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2-01T00:00:00"/>
    <n v="22928"/>
    <n v="340352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1-01T00:00:00"/>
    <n v="19405"/>
    <n v="281727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2-01T00:00:00"/>
    <n v="19405"/>
    <n v="276569"/>
    <m/>
    <m/>
    <m/>
    <m/>
    <m/>
    <m/>
    <m/>
    <m/>
    <m/>
    <m/>
    <m/>
    <m/>
    <m/>
  </r>
  <r>
    <x v="8"/>
    <x v="8"/>
    <s v="ND"/>
    <s v="ND"/>
    <s v="ND"/>
    <x v="3"/>
    <s v="ND"/>
    <m/>
    <m/>
    <m/>
    <m/>
    <m/>
    <m/>
    <m/>
    <m/>
    <m/>
    <m/>
    <m/>
    <m/>
    <m/>
    <m/>
    <m/>
  </r>
  <r>
    <x v="8"/>
    <x v="8"/>
    <s v="8725329-5"/>
    <s v="ROBERTO ALEJANDRO "/>
    <s v="COBXDIF"/>
    <x v="0"/>
    <d v="2016-10-01T00:00:00"/>
    <n v="7430"/>
    <n v="145674"/>
    <m/>
    <m/>
    <m/>
    <m/>
    <m/>
    <m/>
    <m/>
    <m/>
    <m/>
    <m/>
    <m/>
    <m/>
    <m/>
  </r>
  <r>
    <x v="8"/>
    <x v="8"/>
    <s v="8725329-5"/>
    <s v="ROBERTO ALEJANDRO "/>
    <s v="COBXDIF"/>
    <x v="0"/>
    <d v="2016-11-01T00:00:00"/>
    <n v="27568"/>
    <n v="530271"/>
    <m/>
    <m/>
    <m/>
    <m/>
    <m/>
    <m/>
    <m/>
    <m/>
    <m/>
    <m/>
    <m/>
    <m/>
    <m/>
  </r>
  <r>
    <x v="8"/>
    <x v="8"/>
    <s v="8725329-5"/>
    <s v="ROBERTO ALEJANDRO "/>
    <s v="COBXDIF"/>
    <x v="0"/>
    <d v="2016-12-01T00:00:00"/>
    <n v="27602"/>
    <n v="521929"/>
    <m/>
    <m/>
    <m/>
    <m/>
    <m/>
    <m/>
    <m/>
    <m/>
    <m/>
    <m/>
    <m/>
    <m/>
    <m/>
  </r>
  <r>
    <x v="8"/>
    <x v="8"/>
    <s v="8725329-5"/>
    <s v="ROBERTO ALEJANDRO "/>
    <s v="COBXDIF"/>
    <x v="0"/>
    <d v="2017-01-01T00:00:00"/>
    <n v="21448"/>
    <n v="397917"/>
    <m/>
    <m/>
    <m/>
    <m/>
    <m/>
    <m/>
    <m/>
    <m/>
    <m/>
    <m/>
    <m/>
    <m/>
    <m/>
  </r>
  <r>
    <x v="8"/>
    <x v="8"/>
    <s v="10506837-9"/>
    <s v="SERGIO JOSE GARCIA URBIN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3963010-6"/>
    <s v="RODRIGO ANDRES MARIN MARIN "/>
    <s v="COBXDIF"/>
    <x v="0"/>
    <d v="2021-01-01T00:00:00"/>
    <n v="1411"/>
    <n v="4224"/>
    <m/>
    <m/>
    <m/>
    <m/>
    <m/>
    <m/>
    <m/>
    <m/>
    <m/>
    <m/>
    <m/>
    <m/>
    <m/>
  </r>
  <r>
    <x v="8"/>
    <x v="8"/>
    <s v="14201299-5"/>
    <s v="FABIAN ALONSO REYES SAAVEDR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0015538-9"/>
    <s v="TEOVALDO GERMAN POBLETE"/>
    <s v="COBXDIF"/>
    <x v="0"/>
    <d v="2021-01-01T00:00:00"/>
    <n v="1536"/>
    <n v="4224"/>
    <m/>
    <m/>
    <m/>
    <m/>
    <m/>
    <m/>
    <m/>
    <m/>
    <m/>
    <m/>
    <m/>
    <m/>
    <m/>
  </r>
  <r>
    <x v="8"/>
    <x v="8"/>
    <s v="10227874-7"/>
    <s v="CARLOS MAURICIO CIFUENTES NAUTO "/>
    <s v="COBXDIF"/>
    <x v="0"/>
    <d v="2021-01-01T00:00:00"/>
    <n v="169"/>
    <n v="4224"/>
    <m/>
    <m/>
    <m/>
    <m/>
    <m/>
    <m/>
    <m/>
    <m/>
    <m/>
    <m/>
    <m/>
    <m/>
    <m/>
  </r>
  <r>
    <x v="8"/>
    <x v="8"/>
    <s v="12194539-8"/>
    <s v="MARISOL YOLANDA CORDOVA ESPANA"/>
    <s v="COBXDIF"/>
    <x v="0"/>
    <d v="2021-01-01T00:00:00"/>
    <n v="678"/>
    <n v="4224"/>
    <m/>
    <m/>
    <m/>
    <m/>
    <m/>
    <m/>
    <m/>
    <m/>
    <m/>
    <m/>
    <m/>
    <m/>
    <m/>
  </r>
  <r>
    <x v="8"/>
    <x v="8"/>
    <s v="14299061-K"/>
    <s v="CRISTIAN HONORINDO "/>
    <s v="COBXDIF"/>
    <x v="0"/>
    <d v="2021-01-01T00:00:00"/>
    <n v="264"/>
    <n v="4224"/>
    <m/>
    <m/>
    <m/>
    <m/>
    <m/>
    <m/>
    <m/>
    <m/>
    <m/>
    <m/>
    <m/>
    <m/>
    <m/>
  </r>
  <r>
    <x v="8"/>
    <x v="8"/>
    <s v="14479093-6"/>
    <s v="CRISTINA ISABEL SEGUEL PINO "/>
    <s v="COBXDIF"/>
    <x v="0"/>
    <d v="2021-01-01T00:00:00"/>
    <n v="336"/>
    <n v="4224"/>
    <m/>
    <m/>
    <m/>
    <m/>
    <m/>
    <m/>
    <m/>
    <m/>
    <m/>
    <m/>
    <m/>
    <m/>
    <m/>
  </r>
  <r>
    <x v="8"/>
    <x v="8"/>
    <s v="17972826-5"/>
    <s v="BORIS NICOLAS SEPULVEDA FLORES "/>
    <s v="COBXDIF"/>
    <x v="0"/>
    <d v="2021-01-01T00:00:00"/>
    <n v="210"/>
    <n v="4224"/>
    <m/>
    <m/>
    <m/>
    <m/>
    <m/>
    <m/>
    <m/>
    <m/>
    <m/>
    <m/>
    <m/>
    <m/>
    <m/>
  </r>
  <r>
    <x v="8"/>
    <x v="8"/>
    <s v="16385968-8"/>
    <s v="JONATHAN ESTEBAN VARGAS"/>
    <s v="COBXDIF"/>
    <x v="0"/>
    <d v="2021-01-01T00:00:00"/>
    <n v="1265"/>
    <n v="4224"/>
    <m/>
    <m/>
    <m/>
    <m/>
    <m/>
    <m/>
    <m/>
    <m/>
    <m/>
    <m/>
    <m/>
    <m/>
    <m/>
  </r>
  <r>
    <x v="8"/>
    <x v="8"/>
    <s v="18133293-K"/>
    <s v="DAVID EMANUEL VERA ANCALI "/>
    <s v="COBXDIF"/>
    <x v="0"/>
    <d v="2021-01-01T00:00:00"/>
    <n v="126"/>
    <n v="4224"/>
    <m/>
    <m/>
    <m/>
    <m/>
    <m/>
    <m/>
    <m/>
    <m/>
    <m/>
    <m/>
    <m/>
    <m/>
    <m/>
  </r>
  <r>
    <x v="8"/>
    <x v="8"/>
    <s v="11811628-3"/>
    <s v="MISAEL VIRGINIO ANTILLANCA"/>
    <s v="COBXDIF"/>
    <x v="0"/>
    <d v="2021-01-01T00:00:00"/>
    <n v="615"/>
    <n v="4224"/>
    <m/>
    <m/>
    <m/>
    <m/>
    <m/>
    <m/>
    <m/>
    <m/>
    <m/>
    <m/>
    <m/>
    <m/>
    <m/>
  </r>
  <r>
    <x v="8"/>
    <x v="8"/>
    <s v="13100917-8"/>
    <s v="CARLA ALEJANDRA CONTRERAS CONTRERAS"/>
    <s v="PLANILLAS COMPLEMENTARIAS"/>
    <x v="8"/>
    <d v="2016-11-01T00:00:00"/>
    <n v="48946"/>
    <n v="936424"/>
    <m/>
    <m/>
    <m/>
    <m/>
    <m/>
    <m/>
    <m/>
    <m/>
    <m/>
    <m/>
    <m/>
    <m/>
    <m/>
  </r>
  <r>
    <x v="8"/>
    <x v="8"/>
    <s v="18436508-1"/>
    <s v="ALEJANDRO ANSELMO MILLAQUEO PAINEMAN"/>
    <s v="PLANILLAS COMPLEMENTARIAS"/>
    <x v="8"/>
    <d v="2016-11-01T00:00:00"/>
    <n v="431"/>
    <n v="8268"/>
    <m/>
    <m/>
    <m/>
    <m/>
    <m/>
    <m/>
    <m/>
    <m/>
    <m/>
    <m/>
    <m/>
    <m/>
    <m/>
  </r>
  <r>
    <x v="8"/>
    <x v="8"/>
    <s v="19072137-K"/>
    <s v="ACUNA SILVA DANIEL PATRICIO "/>
    <s v="DNPA"/>
    <x v="5"/>
    <d v="2017-08-01T00:00:00"/>
    <n v="10000"/>
    <n v="157517"/>
    <n v="31503.4"/>
    <m/>
    <m/>
    <m/>
    <m/>
    <m/>
    <m/>
    <m/>
    <m/>
    <m/>
    <m/>
    <s v="Enviar a Gestionar"/>
    <m/>
  </r>
  <r>
    <x v="8"/>
    <x v="8"/>
    <s v="19366252-8"/>
    <s v="VARGAS POVEDA VICTOR MANUEL "/>
    <s v="PLANILLAS COMPLEMENTARIAS"/>
    <x v="5"/>
    <d v="2018-04-01T00:00:00"/>
    <n v="6578"/>
    <n v="88310"/>
    <m/>
    <m/>
    <m/>
    <m/>
    <m/>
    <m/>
    <m/>
    <m/>
    <m/>
    <m/>
    <m/>
    <m/>
    <m/>
  </r>
  <r>
    <x v="8"/>
    <x v="8"/>
    <s v="17592680-1"/>
    <s v="ARRA FERNANDEZ GUSTAVO BERNARDO "/>
    <s v="DNPA"/>
    <x v="6"/>
    <d v="2024-12-01T00:00:00"/>
    <n v="10000"/>
    <n v="14080"/>
    <n v="2816"/>
    <m/>
    <m/>
    <m/>
    <m/>
    <m/>
    <m/>
    <m/>
    <m/>
    <m/>
    <m/>
    <s v="Enviar a Gestionar"/>
    <m/>
  </r>
  <r>
    <x v="8"/>
    <x v="8"/>
    <s v="9760921-7"/>
    <s v="ULLOA CONCHA MITZA LORENA"/>
    <s v="DNPA"/>
    <x v="6"/>
    <d v="2024-12-01T00:00:00"/>
    <n v="50000"/>
    <n v="71115"/>
    <n v="14223"/>
    <m/>
    <m/>
    <m/>
    <m/>
    <m/>
    <m/>
    <m/>
    <m/>
    <m/>
    <m/>
    <s v="Enviar a Gestionar"/>
    <m/>
  </r>
  <r>
    <x v="8"/>
    <x v="8"/>
    <s v="ND"/>
    <s v="ND"/>
    <s v="ND"/>
    <x v="7"/>
    <s v="ND"/>
    <m/>
    <m/>
    <m/>
    <m/>
    <m/>
    <m/>
    <m/>
    <m/>
    <m/>
    <m/>
    <m/>
    <m/>
    <m/>
    <m/>
    <m/>
  </r>
  <r>
    <x v="9"/>
    <x v="9"/>
    <s v="ND"/>
    <s v="ND"/>
    <s v="ND"/>
    <x v="1"/>
    <s v="ND"/>
    <m/>
    <m/>
    <m/>
    <m/>
    <m/>
    <m/>
    <m/>
    <m/>
    <m/>
    <m/>
    <m/>
    <m/>
    <m/>
    <m/>
    <m/>
  </r>
  <r>
    <x v="9"/>
    <x v="9"/>
    <s v="ND"/>
    <s v="ND"/>
    <s v="ND"/>
    <x v="2"/>
    <s v="ND"/>
    <m/>
    <m/>
    <m/>
    <m/>
    <m/>
    <m/>
    <m/>
    <m/>
    <m/>
    <m/>
    <m/>
    <m/>
    <m/>
    <m/>
    <m/>
  </r>
  <r>
    <x v="9"/>
    <x v="9"/>
    <s v="ND"/>
    <s v="ND"/>
    <s v="ND"/>
    <x v="3"/>
    <s v="ND"/>
    <m/>
    <m/>
    <m/>
    <m/>
    <m/>
    <m/>
    <m/>
    <m/>
    <m/>
    <m/>
    <m/>
    <m/>
    <m/>
    <m/>
    <m/>
  </r>
  <r>
    <x v="9"/>
    <x v="9"/>
    <s v="ND"/>
    <s v="ND"/>
    <s v="ND"/>
    <x v="0"/>
    <s v="ND"/>
    <m/>
    <m/>
    <m/>
    <m/>
    <m/>
    <m/>
    <m/>
    <m/>
    <m/>
    <m/>
    <m/>
    <m/>
    <m/>
    <m/>
    <m/>
  </r>
  <r>
    <x v="9"/>
    <x v="9"/>
    <s v="ND"/>
    <s v="ND"/>
    <s v="ND"/>
    <x v="8"/>
    <s v="ND"/>
    <m/>
    <m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3-01T00:00:00"/>
    <n v="6485"/>
    <n v="8940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4-01T00:00:00"/>
    <n v="6373"/>
    <n v="86123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5-01T00:00:00"/>
    <n v="6795"/>
    <n v="8992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6-01T00:00:00"/>
    <n v="6795"/>
    <n v="88331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7-01T00:00:00"/>
    <n v="6570"/>
    <n v="83767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8-01T00:00:00"/>
    <n v="6487"/>
    <n v="81165"/>
    <m/>
    <m/>
    <m/>
    <m/>
    <m/>
    <m/>
    <m/>
    <m/>
    <m/>
    <m/>
    <m/>
    <m/>
    <m/>
  </r>
  <r>
    <x v="9"/>
    <x v="9"/>
    <s v="ND"/>
    <s v="ND"/>
    <s v="ND"/>
    <x v="6"/>
    <s v="ND"/>
    <m/>
    <m/>
    <m/>
    <m/>
    <m/>
    <m/>
    <m/>
    <m/>
    <m/>
    <m/>
    <m/>
    <m/>
    <m/>
    <m/>
    <m/>
  </r>
  <r>
    <x v="9"/>
    <x v="9"/>
    <s v="ND"/>
    <s v="ND"/>
    <s v="ND"/>
    <x v="7"/>
    <s v="ND"/>
    <m/>
    <m/>
    <m/>
    <m/>
    <m/>
    <m/>
    <m/>
    <m/>
    <m/>
    <m/>
    <m/>
    <m/>
    <m/>
    <m/>
    <m/>
  </r>
  <r>
    <x v="10"/>
    <x v="10"/>
    <s v="ND"/>
    <s v="ND"/>
    <s v="ND"/>
    <x v="1"/>
    <s v="ND"/>
    <m/>
    <m/>
    <m/>
    <m/>
    <m/>
    <m/>
    <m/>
    <m/>
    <m/>
    <m/>
    <m/>
    <m/>
    <m/>
    <m/>
    <m/>
  </r>
  <r>
    <x v="10"/>
    <x v="10"/>
    <s v="ND"/>
    <s v="ND"/>
    <s v="ND"/>
    <x v="2"/>
    <s v="ND"/>
    <m/>
    <m/>
    <m/>
    <m/>
    <m/>
    <m/>
    <m/>
    <m/>
    <m/>
    <m/>
    <m/>
    <m/>
    <m/>
    <m/>
    <m/>
  </r>
  <r>
    <x v="10"/>
    <x v="10"/>
    <s v="ND"/>
    <s v="ND"/>
    <s v="ND"/>
    <x v="3"/>
    <s v="ND"/>
    <m/>
    <m/>
    <m/>
    <m/>
    <m/>
    <m/>
    <m/>
    <m/>
    <m/>
    <m/>
    <m/>
    <m/>
    <m/>
    <m/>
    <m/>
  </r>
  <r>
    <x v="10"/>
    <x v="10"/>
    <s v="ND"/>
    <s v="ND"/>
    <s v="ND"/>
    <x v="0"/>
    <s v="ND"/>
    <m/>
    <m/>
    <m/>
    <m/>
    <m/>
    <m/>
    <m/>
    <m/>
    <m/>
    <m/>
    <m/>
    <m/>
    <m/>
    <m/>
    <m/>
  </r>
  <r>
    <x v="10"/>
    <x v="10"/>
    <s v="ND"/>
    <s v="ND"/>
    <s v="ND"/>
    <x v="8"/>
    <s v="ND"/>
    <m/>
    <m/>
    <m/>
    <m/>
    <m/>
    <m/>
    <m/>
    <m/>
    <m/>
    <m/>
    <m/>
    <m/>
    <m/>
    <m/>
    <m/>
  </r>
  <r>
    <x v="10"/>
    <x v="10"/>
    <s v="ND"/>
    <s v="ND"/>
    <s v="ND"/>
    <x v="5"/>
    <s v="ND"/>
    <m/>
    <m/>
    <m/>
    <m/>
    <m/>
    <m/>
    <m/>
    <m/>
    <m/>
    <m/>
    <m/>
    <m/>
    <m/>
    <m/>
    <m/>
  </r>
  <r>
    <x v="10"/>
    <x v="10"/>
    <s v="ND"/>
    <s v="ND"/>
    <s v="ND"/>
    <x v="6"/>
    <s v="ND"/>
    <m/>
    <m/>
    <m/>
    <m/>
    <m/>
    <m/>
    <m/>
    <m/>
    <m/>
    <m/>
    <m/>
    <m/>
    <m/>
    <m/>
    <m/>
  </r>
  <r>
    <x v="11"/>
    <x v="11"/>
    <s v="ND"/>
    <s v="ND"/>
    <s v="ND"/>
    <x v="1"/>
    <s v="ND"/>
    <m/>
    <m/>
    <m/>
    <m/>
    <m/>
    <m/>
    <m/>
    <m/>
    <m/>
    <m/>
    <m/>
    <m/>
    <m/>
    <m/>
    <m/>
  </r>
  <r>
    <x v="11"/>
    <x v="11"/>
    <s v="ND"/>
    <s v="ND"/>
    <s v="ND"/>
    <x v="3"/>
    <s v="ND"/>
    <m/>
    <m/>
    <m/>
    <m/>
    <m/>
    <m/>
    <m/>
    <m/>
    <m/>
    <m/>
    <m/>
    <m/>
    <m/>
    <m/>
    <m/>
  </r>
  <r>
    <x v="11"/>
    <x v="11"/>
    <s v="ND"/>
    <s v="ND"/>
    <s v="ND"/>
    <x v="5"/>
    <s v="ND"/>
    <m/>
    <m/>
    <m/>
    <m/>
    <m/>
    <m/>
    <m/>
    <m/>
    <m/>
    <m/>
    <m/>
    <m/>
    <m/>
    <m/>
    <m/>
  </r>
  <r>
    <x v="12"/>
    <x v="12"/>
    <s v="ND"/>
    <s v="ND"/>
    <s v="ND"/>
    <x v="1"/>
    <s v="ND"/>
    <m/>
    <m/>
    <m/>
    <m/>
    <m/>
    <m/>
    <m/>
    <m/>
    <m/>
    <m/>
    <m/>
    <m/>
    <m/>
    <m/>
    <m/>
  </r>
  <r>
    <x v="12"/>
    <x v="12"/>
    <s v="ND"/>
    <s v="ND"/>
    <s v="ND"/>
    <x v="3"/>
    <s v="ND"/>
    <m/>
    <m/>
    <m/>
    <m/>
    <m/>
    <m/>
    <m/>
    <m/>
    <m/>
    <m/>
    <m/>
    <m/>
    <m/>
    <m/>
    <m/>
  </r>
  <r>
    <x v="12"/>
    <x v="12"/>
    <s v="ND"/>
    <s v="ND"/>
    <s v="ND"/>
    <x v="0"/>
    <s v="ND"/>
    <m/>
    <m/>
    <m/>
    <m/>
    <m/>
    <m/>
    <m/>
    <m/>
    <m/>
    <m/>
    <m/>
    <m/>
    <m/>
    <m/>
    <m/>
  </r>
  <r>
    <x v="13"/>
    <x v="13"/>
    <s v="ND"/>
    <s v="ND"/>
    <s v="ND"/>
    <x v="2"/>
    <s v="ND"/>
    <m/>
    <m/>
    <m/>
    <m/>
    <m/>
    <m/>
    <m/>
    <m/>
    <m/>
    <m/>
    <m/>
    <m/>
    <m/>
    <m/>
    <m/>
  </r>
  <r>
    <x v="13"/>
    <x v="13"/>
    <s v="ND"/>
    <s v="ND"/>
    <s v="ND"/>
    <x v="3"/>
    <s v="ND"/>
    <m/>
    <m/>
    <m/>
    <m/>
    <m/>
    <m/>
    <m/>
    <m/>
    <m/>
    <m/>
    <m/>
    <m/>
    <m/>
    <m/>
    <m/>
  </r>
  <r>
    <x v="13"/>
    <x v="13"/>
    <s v="10385944-1"/>
    <s v="JANNETTE CARMEN BRITO "/>
    <s v="DNPA"/>
    <x v="0"/>
    <d v="2025-12-01T00:00:00"/>
    <n v="20000"/>
    <n v="20748"/>
    <n v="4149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1-01T00:00:00"/>
    <n v="20000"/>
    <n v="20967"/>
    <n v="4193.400000000001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0-01T00:00:00"/>
    <n v="30000"/>
    <n v="31674"/>
    <n v="6334.8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9-01T00:00:00"/>
    <n v="30000"/>
    <n v="21403"/>
    <n v="4280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8-01T00:00:00"/>
    <n v="30000"/>
    <n v="21923"/>
    <n v="4384.6"/>
    <m/>
    <m/>
    <m/>
    <m/>
    <m/>
    <m/>
    <m/>
    <m/>
    <m/>
    <m/>
    <s v="Enviar a Gestionar"/>
    <m/>
  </r>
  <r>
    <x v="13"/>
    <x v="13"/>
    <s v="6455487-5"/>
    <s v="ORLANDO ISMAEL MEDINA CASTRO "/>
    <s v="COBXDIF"/>
    <x v="0"/>
    <d v="2009-11-01T00:00:00"/>
    <n v="5537"/>
    <n v="441059"/>
    <m/>
    <m/>
    <m/>
    <m/>
    <m/>
    <m/>
    <m/>
    <m/>
    <m/>
    <m/>
    <m/>
    <m/>
    <m/>
  </r>
  <r>
    <x v="13"/>
    <x v="13"/>
    <s v="18711684-8"/>
    <s v="MOSQUEIRA RUIZ GERARDO ANTONIO "/>
    <s v="PLANILLAS COMPLEMENTARIAS"/>
    <x v="8"/>
    <d v="2014-01-01T00:00:00"/>
    <n v="28276"/>
    <n v="969264"/>
    <m/>
    <m/>
    <m/>
    <m/>
    <m/>
    <m/>
    <m/>
    <m/>
    <m/>
    <m/>
    <m/>
    <m/>
    <m/>
  </r>
  <r>
    <x v="13"/>
    <x v="13"/>
    <s v="13397930-1"/>
    <s v="CISTERNAS LEAL HECTOR PATRICIO "/>
    <s v="PLANILLAS COMPLEMENTARIAS"/>
    <x v="5"/>
    <d v="2011-05-01T00:00:00"/>
    <n v="6709"/>
    <n v="398828"/>
    <m/>
    <m/>
    <m/>
    <m/>
    <m/>
    <m/>
    <m/>
    <m/>
    <m/>
    <m/>
    <m/>
    <m/>
    <m/>
  </r>
  <r>
    <x v="13"/>
    <x v="13"/>
    <s v="17532361-9"/>
    <s v="AGUILAR AGUILA LEANDRO HATMAN"/>
    <s v="PLANILLAS COMPLEMENTARIAS"/>
    <x v="5"/>
    <d v="2012-07-01T00:00:00"/>
    <n v="3474"/>
    <n v="168733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09-01T00:00:00"/>
    <n v="5098"/>
    <n v="188209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10-01T00:00:00"/>
    <n v="4990"/>
    <n v="180714"/>
    <m/>
    <m/>
    <m/>
    <m/>
    <m/>
    <m/>
    <m/>
    <m/>
    <m/>
    <m/>
    <m/>
    <m/>
    <m/>
  </r>
  <r>
    <x v="13"/>
    <x v="13"/>
    <s v="262235992-1"/>
    <s v="SAINT-FLEUR EXAU"/>
    <s v="DNPA"/>
    <x v="5"/>
    <d v="2024-09-01T00:00:00"/>
    <n v="179851"/>
    <n v="288916"/>
    <n v="57783.2"/>
    <m/>
    <m/>
    <m/>
    <m/>
    <m/>
    <m/>
    <m/>
    <m/>
    <m/>
    <m/>
    <s v="Enviar a Gestionar"/>
    <m/>
  </r>
  <r>
    <x v="13"/>
    <x v="13"/>
    <s v="26633473-7"/>
    <s v="SAINTE FLEUR FRANTZSO"/>
    <s v="DNPA"/>
    <x v="5"/>
    <d v="2024-09-01T00:00:00"/>
    <n v="106367"/>
    <n v="172271"/>
    <n v="34454.2"/>
    <m/>
    <m/>
    <m/>
    <m/>
    <m/>
    <m/>
    <m/>
    <m/>
    <m/>
    <m/>
    <s v="Enviar a Gestionar"/>
    <m/>
  </r>
  <r>
    <x v="13"/>
    <x v="13"/>
    <s v="26235992-1"/>
    <s v="SAINT-FLEUR EXAU"/>
    <s v="PLANILLAS COMPLEMENTARIAS"/>
    <x v="5"/>
    <d v="2024-11-01T00:00:00"/>
    <n v="194445"/>
    <n v="289697"/>
    <m/>
    <m/>
    <m/>
    <m/>
    <m/>
    <m/>
    <m/>
    <m/>
    <m/>
    <m/>
    <m/>
    <m/>
    <m/>
  </r>
  <r>
    <x v="13"/>
    <x v="13"/>
    <s v="15227029-1"/>
    <s v="MORAGA LUNA VICTOR ANDRES"/>
    <s v="DNPA"/>
    <x v="6"/>
    <d v="2025-04-01T00:00:00"/>
    <n v="75000"/>
    <n v="93496"/>
    <n v="18699.2"/>
    <m/>
    <m/>
    <m/>
    <m/>
    <m/>
    <m/>
    <m/>
    <m/>
    <m/>
    <m/>
    <s v="Enviar a Gestionar"/>
    <m/>
  </r>
  <r>
    <x v="13"/>
    <x v="13"/>
    <s v="15227029-1"/>
    <s v="MORAGA LUNA VICTOR ANDRES"/>
    <s v="DNPA"/>
    <x v="6"/>
    <d v="2025-05-01T00:00:00"/>
    <n v="75000"/>
    <n v="88857"/>
    <n v="17771.4"/>
    <m/>
    <m/>
    <m/>
    <m/>
    <m/>
    <m/>
    <m/>
    <m/>
    <m/>
    <m/>
    <s v="Enviar a Gestionar"/>
    <m/>
  </r>
  <r>
    <x v="13"/>
    <x v="13"/>
    <s v="ND"/>
    <s v="ND"/>
    <s v="ND"/>
    <x v="7"/>
    <s v="ND"/>
    <m/>
    <m/>
    <m/>
    <m/>
    <m/>
    <m/>
    <m/>
    <m/>
    <m/>
    <m/>
    <m/>
    <m/>
    <m/>
    <m/>
    <m/>
  </r>
  <r>
    <x v="4"/>
    <x v="4"/>
    <s v="12023729-2"/>
    <s v="JAIME FELIPE ZINIGA DE"/>
    <s v="COBXDIF"/>
    <x v="0"/>
    <d v="2017-03-01T00:00:00"/>
    <n v="28256"/>
    <n v="506861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2023729-2"/>
    <s v="JAIME FELIPE ZINIGA DE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2023729-2"/>
    <s v="JAIME FELIPE ZINIGA DE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2023729-2"/>
    <s v="JAIME FELIPE ZINIGA DE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ND"/>
    <s v="ND"/>
    <s v="ND"/>
    <x v="7"/>
    <s v="ND"/>
    <m/>
    <m/>
    <m/>
    <m/>
    <m/>
    <m/>
    <m/>
    <m/>
    <m/>
    <m/>
    <m/>
    <m/>
    <m/>
    <m/>
    <m/>
  </r>
  <r>
    <x v="14"/>
    <x v="14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2"/>
    <s v="ND"/>
    <m/>
    <m/>
    <m/>
    <m/>
    <m/>
    <m/>
    <m/>
    <m/>
    <m/>
    <m/>
    <m/>
    <m/>
    <m/>
    <m/>
    <m/>
  </r>
  <r>
    <x v="15"/>
    <x v="15"/>
    <s v="ND"/>
    <s v="ND"/>
    <s v="ND"/>
    <x v="3"/>
    <s v="ND"/>
    <m/>
    <m/>
    <m/>
    <m/>
    <m/>
    <m/>
    <m/>
    <m/>
    <m/>
    <m/>
    <m/>
    <m/>
    <m/>
    <m/>
    <m/>
  </r>
  <r>
    <x v="15"/>
    <x v="15"/>
    <s v="ND"/>
    <s v="ND"/>
    <s v="ND"/>
    <x v="0"/>
    <s v="ND"/>
    <m/>
    <m/>
    <m/>
    <m/>
    <m/>
    <m/>
    <m/>
    <m/>
    <m/>
    <m/>
    <m/>
    <m/>
    <m/>
    <m/>
    <m/>
  </r>
  <r>
    <x v="15"/>
    <x v="15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6"/>
    <s v="ND"/>
    <m/>
    <m/>
    <m/>
    <m/>
    <m/>
    <m/>
    <m/>
    <m/>
    <m/>
    <m/>
    <m/>
    <m/>
    <m/>
    <m/>
    <m/>
  </r>
  <r>
    <x v="15"/>
    <x v="15"/>
    <s v="ND"/>
    <s v="ND"/>
    <s v="ND"/>
    <x v="7"/>
    <s v="ND"/>
    <m/>
    <m/>
    <m/>
    <m/>
    <m/>
    <m/>
    <m/>
    <m/>
    <m/>
    <m/>
    <m/>
    <m/>
    <m/>
    <m/>
    <m/>
  </r>
  <r>
    <x v="13"/>
    <x v="13"/>
    <m/>
    <m/>
    <m/>
    <x v="1"/>
    <d v="2025-12-01T00:00:00"/>
    <n v="886800"/>
    <n v="915884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163">
  <r>
    <x v="0"/>
    <x v="0"/>
    <s v="13579555-0"/>
    <s v="PATRICIO HERNAN GONZALEZ PANES"/>
    <s v="DNPA"/>
    <x v="0"/>
    <d v="2025-11-01T00:00:00"/>
    <n v="30000"/>
    <n v="31449"/>
    <n v="6289.8"/>
    <m/>
    <m/>
    <m/>
    <m/>
    <m/>
    <m/>
    <m/>
    <m/>
    <m/>
    <m/>
    <s v="Enviar a Gestionar"/>
    <m/>
  </r>
  <r>
    <x v="0"/>
    <x v="0"/>
    <s v="13579555-0"/>
    <s v="PATRICIO HERNAN GONZALEZ PANES"/>
    <s v="DNPA"/>
    <x v="0"/>
    <d v="2025-12-01T00:00:00"/>
    <n v="30000"/>
    <n v="31122"/>
    <n v="6224.400000000001"/>
    <m/>
    <m/>
    <m/>
    <m/>
    <m/>
    <m/>
    <m/>
    <m/>
    <m/>
    <m/>
    <s v="Enviar a Gestionar"/>
    <m/>
  </r>
  <r>
    <x v="0"/>
    <x v="0"/>
    <s v="ND"/>
    <s v="ND"/>
    <s v="ND"/>
    <x v="1"/>
    <s v="ND"/>
    <m/>
    <m/>
    <m/>
    <m/>
    <m/>
    <m/>
    <m/>
    <m/>
    <m/>
    <m/>
    <m/>
    <m/>
    <m/>
    <m/>
    <m/>
  </r>
  <r>
    <x v="0"/>
    <x v="0"/>
    <s v="ND"/>
    <s v="ND"/>
    <s v="ND"/>
    <x v="2"/>
    <s v="ND"/>
    <m/>
    <m/>
    <m/>
    <m/>
    <m/>
    <m/>
    <m/>
    <m/>
    <m/>
    <m/>
    <m/>
    <m/>
    <m/>
    <m/>
    <m/>
  </r>
  <r>
    <x v="0"/>
    <x v="0"/>
    <m/>
    <s v="ND"/>
    <s v="ND"/>
    <x v="3"/>
    <s v="ND"/>
    <m/>
    <m/>
    <m/>
    <m/>
    <m/>
    <m/>
    <m/>
    <m/>
    <m/>
    <m/>
    <m/>
    <m/>
    <m/>
    <m/>
    <m/>
  </r>
  <r>
    <x v="0"/>
    <x v="0"/>
    <s v="ND"/>
    <s v="ND"/>
    <s v="ND"/>
    <x v="4"/>
    <s v="ND"/>
    <m/>
    <m/>
    <m/>
    <m/>
    <m/>
    <m/>
    <m/>
    <m/>
    <m/>
    <m/>
    <m/>
    <m/>
    <m/>
    <m/>
    <m/>
  </r>
  <r>
    <x v="0"/>
    <x v="0"/>
    <s v="ND"/>
    <s v="ND"/>
    <s v="ND"/>
    <x v="5"/>
    <s v="ND"/>
    <m/>
    <m/>
    <m/>
    <m/>
    <m/>
    <m/>
    <m/>
    <m/>
    <m/>
    <m/>
    <m/>
    <m/>
    <m/>
    <m/>
    <m/>
  </r>
  <r>
    <x v="0"/>
    <x v="0"/>
    <s v="ND"/>
    <s v="ND"/>
    <s v="ND"/>
    <x v="6"/>
    <s v="ND"/>
    <m/>
    <m/>
    <m/>
    <m/>
    <m/>
    <m/>
    <m/>
    <m/>
    <m/>
    <m/>
    <m/>
    <m/>
    <m/>
    <m/>
    <m/>
  </r>
  <r>
    <x v="0"/>
    <x v="0"/>
    <s v="ND"/>
    <s v="ND"/>
    <s v="ND"/>
    <x v="7"/>
    <s v="ND"/>
    <m/>
    <m/>
    <m/>
    <m/>
    <m/>
    <m/>
    <m/>
    <m/>
    <m/>
    <m/>
    <m/>
    <m/>
    <m/>
    <m/>
    <m/>
  </r>
  <r>
    <x v="1"/>
    <x v="1"/>
    <s v="ND"/>
    <s v="ND"/>
    <s v="ND"/>
    <x v="1"/>
    <s v="ND"/>
    <m/>
    <m/>
    <m/>
    <m/>
    <m/>
    <m/>
    <m/>
    <m/>
    <m/>
    <m/>
    <m/>
    <m/>
    <m/>
    <m/>
    <m/>
  </r>
  <r>
    <x v="1"/>
    <x v="1"/>
    <s v="ND"/>
    <s v="ND"/>
    <s v="ND"/>
    <x v="2"/>
    <s v="ND"/>
    <m/>
    <m/>
    <m/>
    <m/>
    <m/>
    <m/>
    <m/>
    <m/>
    <m/>
    <m/>
    <m/>
    <m/>
    <m/>
    <m/>
    <m/>
  </r>
  <r>
    <x v="1"/>
    <x v="1"/>
    <s v="ND"/>
    <s v="ND"/>
    <s v="ND"/>
    <x v="3"/>
    <s v="ND"/>
    <m/>
    <m/>
    <m/>
    <m/>
    <m/>
    <m/>
    <m/>
    <m/>
    <m/>
    <m/>
    <m/>
    <m/>
    <m/>
    <m/>
    <m/>
  </r>
  <r>
    <x v="1"/>
    <x v="1"/>
    <s v="ND"/>
    <s v="ND"/>
    <s v="ND"/>
    <x v="0"/>
    <s v="ND"/>
    <m/>
    <m/>
    <m/>
    <m/>
    <m/>
    <m/>
    <m/>
    <m/>
    <m/>
    <m/>
    <m/>
    <m/>
    <m/>
    <m/>
    <m/>
  </r>
  <r>
    <x v="1"/>
    <x v="1"/>
    <s v="ND"/>
    <s v="ND"/>
    <s v="ND"/>
    <x v="4"/>
    <s v="ND"/>
    <m/>
    <m/>
    <m/>
    <m/>
    <m/>
    <m/>
    <m/>
    <m/>
    <m/>
    <m/>
    <m/>
    <m/>
    <m/>
    <m/>
    <m/>
  </r>
  <r>
    <x v="1"/>
    <x v="1"/>
    <s v="ND"/>
    <s v="ND"/>
    <s v="ND"/>
    <x v="5"/>
    <s v="ND"/>
    <m/>
    <m/>
    <m/>
    <m/>
    <m/>
    <m/>
    <m/>
    <m/>
    <m/>
    <m/>
    <m/>
    <m/>
    <m/>
    <m/>
    <m/>
  </r>
  <r>
    <x v="1"/>
    <x v="1"/>
    <s v="ND"/>
    <s v="ND"/>
    <s v="ND"/>
    <x v="6"/>
    <s v="ND"/>
    <m/>
    <m/>
    <m/>
    <m/>
    <m/>
    <m/>
    <m/>
    <m/>
    <m/>
    <m/>
    <m/>
    <m/>
    <m/>
    <m/>
    <m/>
  </r>
  <r>
    <x v="1"/>
    <x v="1"/>
    <s v="ND"/>
    <s v="ND"/>
    <s v="ND"/>
    <x v="7"/>
    <s v="ND"/>
    <m/>
    <m/>
    <m/>
    <m/>
    <m/>
    <m/>
    <m/>
    <m/>
    <m/>
    <m/>
    <m/>
    <m/>
    <m/>
    <m/>
    <m/>
  </r>
  <r>
    <x v="2"/>
    <x v="2"/>
    <s v="ND"/>
    <s v="ND"/>
    <s v="ND"/>
    <x v="1"/>
    <s v="ND"/>
    <m/>
    <m/>
    <m/>
    <m/>
    <m/>
    <m/>
    <m/>
    <m/>
    <m/>
    <m/>
    <m/>
    <m/>
    <m/>
    <m/>
    <m/>
  </r>
  <r>
    <x v="2"/>
    <x v="2"/>
    <s v="ND"/>
    <s v="ND"/>
    <s v="ND"/>
    <x v="2"/>
    <s v="ND"/>
    <m/>
    <m/>
    <m/>
    <m/>
    <m/>
    <m/>
    <m/>
    <m/>
    <m/>
    <m/>
    <m/>
    <m/>
    <m/>
    <m/>
    <m/>
  </r>
  <r>
    <x v="2"/>
    <x v="2"/>
    <s v="ND"/>
    <s v="ND"/>
    <s v="ND"/>
    <x v="3"/>
    <s v="ND"/>
    <m/>
    <m/>
    <m/>
    <m/>
    <m/>
    <m/>
    <m/>
    <m/>
    <m/>
    <m/>
    <m/>
    <m/>
    <m/>
    <m/>
    <m/>
  </r>
  <r>
    <x v="2"/>
    <x v="2"/>
    <s v="ND"/>
    <s v="ND"/>
    <s v="ND"/>
    <x v="0"/>
    <s v="ND"/>
    <m/>
    <m/>
    <m/>
    <m/>
    <m/>
    <m/>
    <m/>
    <m/>
    <m/>
    <m/>
    <m/>
    <m/>
    <m/>
    <m/>
    <m/>
  </r>
  <r>
    <x v="2"/>
    <x v="2"/>
    <s v="ND"/>
    <s v="ND"/>
    <s v="ND"/>
    <x v="4"/>
    <s v="ND"/>
    <m/>
    <m/>
    <m/>
    <m/>
    <m/>
    <m/>
    <m/>
    <m/>
    <m/>
    <m/>
    <m/>
    <m/>
    <m/>
    <m/>
    <m/>
  </r>
  <r>
    <x v="2"/>
    <x v="2"/>
    <s v="ND"/>
    <s v="ND"/>
    <s v="ND"/>
    <x v="5"/>
    <s v="ND"/>
    <m/>
    <m/>
    <m/>
    <m/>
    <m/>
    <m/>
    <m/>
    <m/>
    <m/>
    <m/>
    <m/>
    <m/>
    <m/>
    <m/>
    <m/>
  </r>
  <r>
    <x v="2"/>
    <x v="2"/>
    <s v="ND"/>
    <s v="ND"/>
    <s v="ND"/>
    <x v="6"/>
    <s v="ND"/>
    <m/>
    <m/>
    <m/>
    <m/>
    <m/>
    <m/>
    <m/>
    <m/>
    <m/>
    <m/>
    <m/>
    <m/>
    <m/>
    <m/>
    <m/>
  </r>
  <r>
    <x v="2"/>
    <x v="2"/>
    <s v="ND"/>
    <s v="ND"/>
    <s v="ND"/>
    <x v="7"/>
    <s v="ND"/>
    <m/>
    <m/>
    <m/>
    <m/>
    <m/>
    <m/>
    <m/>
    <m/>
    <m/>
    <m/>
    <m/>
    <m/>
    <m/>
    <m/>
    <m/>
  </r>
  <r>
    <x v="3"/>
    <x v="3"/>
    <s v="ND"/>
    <s v="ND"/>
    <s v="ND"/>
    <x v="1"/>
    <s v="ND"/>
    <m/>
    <m/>
    <m/>
    <m/>
    <m/>
    <m/>
    <m/>
    <m/>
    <m/>
    <m/>
    <m/>
    <m/>
    <m/>
    <m/>
    <m/>
  </r>
  <r>
    <x v="3"/>
    <x v="3"/>
    <s v="ND"/>
    <s v="ND"/>
    <s v="ND"/>
    <x v="3"/>
    <s v="ND"/>
    <m/>
    <m/>
    <m/>
    <m/>
    <m/>
    <m/>
    <m/>
    <m/>
    <m/>
    <m/>
    <m/>
    <m/>
    <m/>
    <m/>
    <m/>
  </r>
  <r>
    <x v="3"/>
    <x v="3"/>
    <s v="ND"/>
    <s v="ND"/>
    <s v="ND"/>
    <x v="0"/>
    <s v="ND"/>
    <m/>
    <m/>
    <m/>
    <m/>
    <m/>
    <m/>
    <m/>
    <m/>
    <m/>
    <m/>
    <m/>
    <m/>
    <m/>
    <m/>
    <m/>
  </r>
  <r>
    <x v="4"/>
    <x v="4"/>
    <s v="ND"/>
    <s v="ND"/>
    <s v="ND"/>
    <x v="1"/>
    <s v="ND"/>
    <m/>
    <m/>
    <m/>
    <m/>
    <m/>
    <m/>
    <m/>
    <m/>
    <m/>
    <m/>
    <m/>
    <m/>
    <m/>
    <m/>
    <m/>
  </r>
  <r>
    <x v="4"/>
    <x v="4"/>
    <s v="ND"/>
    <s v="ND"/>
    <s v="ND"/>
    <x v="2"/>
    <s v="ND"/>
    <m/>
    <m/>
    <m/>
    <m/>
    <m/>
    <m/>
    <m/>
    <m/>
    <m/>
    <m/>
    <m/>
    <m/>
    <m/>
    <m/>
    <m/>
  </r>
  <r>
    <x v="4"/>
    <x v="4"/>
    <s v="ND"/>
    <s v="ND"/>
    <s v="ND"/>
    <x v="3"/>
    <s v="ND"/>
    <m/>
    <m/>
    <m/>
    <m/>
    <m/>
    <m/>
    <m/>
    <m/>
    <m/>
    <m/>
    <m/>
    <m/>
    <m/>
    <m/>
    <m/>
  </r>
  <r>
    <x v="4"/>
    <x v="4"/>
    <s v="ND"/>
    <s v="ND"/>
    <s v="ND"/>
    <x v="4"/>
    <s v="ND"/>
    <m/>
    <m/>
    <m/>
    <m/>
    <m/>
    <m/>
    <m/>
    <m/>
    <m/>
    <m/>
    <m/>
    <m/>
    <m/>
    <m/>
    <m/>
  </r>
  <r>
    <x v="4"/>
    <x v="4"/>
    <s v="ND"/>
    <s v="ND"/>
    <s v="ND"/>
    <x v="5"/>
    <s v="ND"/>
    <m/>
    <m/>
    <m/>
    <m/>
    <m/>
    <m/>
    <m/>
    <m/>
    <m/>
    <m/>
    <m/>
    <m/>
    <m/>
    <m/>
    <m/>
  </r>
  <r>
    <x v="4"/>
    <x v="4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1"/>
    <s v="ND"/>
    <m/>
    <m/>
    <m/>
    <m/>
    <m/>
    <m/>
    <m/>
    <m/>
    <m/>
    <m/>
    <m/>
    <m/>
    <m/>
    <m/>
    <m/>
  </r>
  <r>
    <x v="5"/>
    <x v="5"/>
    <s v="ND"/>
    <s v="ND"/>
    <s v="ND"/>
    <x v="2"/>
    <s v="ND"/>
    <m/>
    <m/>
    <m/>
    <m/>
    <m/>
    <m/>
    <m/>
    <m/>
    <m/>
    <m/>
    <m/>
    <m/>
    <m/>
    <m/>
    <m/>
  </r>
  <r>
    <x v="5"/>
    <x v="5"/>
    <s v="ND"/>
    <s v="ND"/>
    <s v="ND"/>
    <x v="3"/>
    <s v="ND"/>
    <m/>
    <m/>
    <m/>
    <m/>
    <m/>
    <m/>
    <m/>
    <m/>
    <m/>
    <m/>
    <m/>
    <m/>
    <m/>
    <m/>
    <m/>
  </r>
  <r>
    <x v="5"/>
    <x v="5"/>
    <s v="8725329-5"/>
    <s v="ROBERTO ALEJANDRO "/>
    <s v="COBXDIF"/>
    <x v="0"/>
    <d v="2017-01-01T00:00:00"/>
    <n v="10462"/>
    <n v="194067"/>
    <m/>
    <m/>
    <m/>
    <m/>
    <m/>
    <m/>
    <m/>
    <m/>
    <m/>
    <m/>
    <m/>
    <m/>
    <m/>
  </r>
  <r>
    <x v="5"/>
    <x v="5"/>
    <s v="8725329-5"/>
    <s v="ROBERTO ALEJANDRO "/>
    <s v="COBXDIF"/>
    <x v="0"/>
    <d v="2017-02-01T00:00:00"/>
    <n v="28170"/>
    <n v="513613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3-01T00:00:00"/>
    <n v="28256"/>
    <n v="512061"/>
    <m/>
    <m/>
    <m/>
    <m/>
    <m/>
    <m/>
    <m/>
    <m/>
    <m/>
    <m/>
    <m/>
    <m/>
    <m/>
  </r>
  <r>
    <x v="5"/>
    <x v="5"/>
    <s v="8725329-5"/>
    <s v="ROBERTO ALEJANDRO "/>
    <s v="COBXDIF"/>
    <x v="0"/>
    <d v="2017-03-01T00:00:00"/>
    <n v="22447"/>
    <n v="401305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4-01T00:00:00"/>
    <n v="28351"/>
    <n v="503956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5-01T00:00:00"/>
    <n v="28426"/>
    <n v="494530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6-01T00:00:00"/>
    <n v="28463"/>
    <n v="486197"/>
    <m/>
    <m/>
    <m/>
    <m/>
    <m/>
    <m/>
    <m/>
    <m/>
    <m/>
    <m/>
    <m/>
    <m/>
    <m/>
  </r>
  <r>
    <x v="5"/>
    <x v="5"/>
    <s v="ND"/>
    <s v="ND"/>
    <s v="ND"/>
    <x v="4"/>
    <s v="ND"/>
    <m/>
    <m/>
    <m/>
    <m/>
    <m/>
    <m/>
    <m/>
    <m/>
    <m/>
    <m/>
    <m/>
    <m/>
    <m/>
    <m/>
    <m/>
  </r>
  <r>
    <x v="5"/>
    <x v="5"/>
    <s v="9812849-2"/>
    <s v="CAMPOS CHAVARRIGA JOSE REMIGINIO"/>
    <s v="DNPA"/>
    <x v="5"/>
    <d v="2025-08-01T00:00:00"/>
    <n v="101694"/>
    <n v="107709"/>
    <n v="21541.8"/>
    <m/>
    <m/>
    <m/>
    <m/>
    <m/>
    <m/>
    <m/>
    <m/>
    <m/>
    <m/>
    <s v="Enviar a Gestionar"/>
    <m/>
  </r>
  <r>
    <x v="5"/>
    <x v="5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7"/>
    <s v="ND"/>
    <m/>
    <m/>
    <m/>
    <m/>
    <m/>
    <m/>
    <m/>
    <m/>
    <m/>
    <m/>
    <m/>
    <m/>
    <m/>
    <m/>
    <m/>
  </r>
  <r>
    <x v="6"/>
    <x v="6"/>
    <s v="ND"/>
    <s v="ND"/>
    <s v="ND"/>
    <x v="1"/>
    <s v="ND"/>
    <m/>
    <m/>
    <m/>
    <m/>
    <m/>
    <m/>
    <m/>
    <m/>
    <m/>
    <m/>
    <m/>
    <m/>
    <m/>
    <m/>
    <m/>
  </r>
  <r>
    <x v="6"/>
    <x v="6"/>
    <s v="ND"/>
    <s v="ND"/>
    <s v="ND"/>
    <x v="2"/>
    <s v="ND"/>
    <m/>
    <m/>
    <m/>
    <m/>
    <m/>
    <m/>
    <m/>
    <m/>
    <m/>
    <m/>
    <m/>
    <m/>
    <m/>
    <m/>
    <m/>
  </r>
  <r>
    <x v="6"/>
    <x v="6"/>
    <s v="ND"/>
    <s v="ND"/>
    <s v="ND"/>
    <x v="3"/>
    <s v="ND"/>
    <m/>
    <m/>
    <m/>
    <m/>
    <m/>
    <m/>
    <m/>
    <m/>
    <m/>
    <m/>
    <m/>
    <m/>
    <m/>
    <m/>
    <m/>
  </r>
  <r>
    <x v="6"/>
    <x v="6"/>
    <s v="17528835-K"/>
    <s v="CONSTANZA VALERIA"/>
    <s v="DNPA"/>
    <x v="0"/>
    <d v="2025-10-01T00:00:00"/>
    <n v="15000"/>
    <n v="15827"/>
    <n v="3165.4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1-01T00:00:00"/>
    <n v="15000"/>
    <n v="15725"/>
    <n v="3145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2-01T00:00:00"/>
    <n v="15000"/>
    <n v="15561"/>
    <n v="3112.2"/>
    <m/>
    <m/>
    <m/>
    <m/>
    <m/>
    <m/>
    <m/>
    <m/>
    <m/>
    <m/>
    <s v="Enviar a Gestionar"/>
    <m/>
  </r>
  <r>
    <x v="6"/>
    <x v="6"/>
    <s v="ND"/>
    <s v="ND"/>
    <s v="ND"/>
    <x v="4"/>
    <s v="ND"/>
    <m/>
    <m/>
    <m/>
    <m/>
    <m/>
    <m/>
    <m/>
    <m/>
    <m/>
    <m/>
    <m/>
    <m/>
    <m/>
    <m/>
    <m/>
  </r>
  <r>
    <x v="6"/>
    <x v="6"/>
    <s v="ND"/>
    <s v="ND"/>
    <s v="ND"/>
    <x v="5"/>
    <s v="ND"/>
    <m/>
    <m/>
    <m/>
    <m/>
    <m/>
    <m/>
    <m/>
    <m/>
    <m/>
    <m/>
    <m/>
    <m/>
    <m/>
    <m/>
    <m/>
  </r>
  <r>
    <x v="6"/>
    <x v="6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1"/>
    <s v="ND"/>
    <m/>
    <m/>
    <m/>
    <m/>
    <m/>
    <m/>
    <m/>
    <m/>
    <m/>
    <m/>
    <m/>
    <m/>
    <m/>
    <m/>
    <m/>
  </r>
  <r>
    <x v="7"/>
    <x v="7"/>
    <s v="ND"/>
    <s v="ND"/>
    <s v="ND"/>
    <x v="2"/>
    <s v="ND"/>
    <m/>
    <m/>
    <m/>
    <m/>
    <m/>
    <m/>
    <m/>
    <m/>
    <m/>
    <m/>
    <m/>
    <m/>
    <m/>
    <m/>
    <m/>
  </r>
  <r>
    <x v="7"/>
    <x v="7"/>
    <s v="ND"/>
    <s v="ND"/>
    <s v="ND"/>
    <x v="3"/>
    <s v="ND"/>
    <m/>
    <m/>
    <m/>
    <m/>
    <m/>
    <m/>
    <m/>
    <m/>
    <m/>
    <m/>
    <m/>
    <m/>
    <m/>
    <m/>
    <m/>
  </r>
  <r>
    <x v="7"/>
    <x v="7"/>
    <s v="ND"/>
    <s v="ND"/>
    <s v="ND"/>
    <x v="0"/>
    <s v="ND"/>
    <m/>
    <m/>
    <m/>
    <m/>
    <m/>
    <m/>
    <m/>
    <m/>
    <m/>
    <m/>
    <m/>
    <m/>
    <m/>
    <m/>
    <m/>
  </r>
  <r>
    <x v="7"/>
    <x v="7"/>
    <s v="ND"/>
    <s v="ND"/>
    <s v="ND"/>
    <x v="8"/>
    <s v="ND"/>
    <m/>
    <m/>
    <m/>
    <m/>
    <m/>
    <m/>
    <m/>
    <m/>
    <m/>
    <m/>
    <m/>
    <m/>
    <m/>
    <m/>
    <m/>
  </r>
  <r>
    <x v="7"/>
    <x v="7"/>
    <s v="11129346-5"/>
    <s v="URIBE CHANDIA LEMUEL LAZARO"/>
    <s v="DNPA"/>
    <x v="5"/>
    <d v="2025-08-01T00:00:00"/>
    <n v="138359"/>
    <n v="145806"/>
    <n v="29161.2"/>
    <m/>
    <m/>
    <m/>
    <m/>
    <m/>
    <m/>
    <m/>
    <m/>
    <m/>
    <m/>
    <s v="Enviar a Gestionar"/>
    <m/>
  </r>
  <r>
    <x v="7"/>
    <x v="7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7"/>
    <s v="ND"/>
    <m/>
    <m/>
    <m/>
    <m/>
    <m/>
    <m/>
    <m/>
    <m/>
    <m/>
    <m/>
    <m/>
    <m/>
    <m/>
    <m/>
    <m/>
  </r>
  <r>
    <x v="8"/>
    <x v="8"/>
    <s v="ND"/>
    <s v="ND"/>
    <s v="ND"/>
    <x v="1"/>
    <s v="ND"/>
    <m/>
    <m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1-01T00:00:00"/>
    <n v="19373"/>
    <n v="293429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2-01T00:00:00"/>
    <n v="22928"/>
    <n v="340352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1-01T00:00:00"/>
    <n v="19405"/>
    <n v="281727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2-01T00:00:00"/>
    <n v="19405"/>
    <n v="276569"/>
    <m/>
    <m/>
    <m/>
    <m/>
    <m/>
    <m/>
    <m/>
    <m/>
    <m/>
    <m/>
    <m/>
    <m/>
    <m/>
  </r>
  <r>
    <x v="8"/>
    <x v="8"/>
    <s v="ND"/>
    <s v="ND"/>
    <s v="ND"/>
    <x v="3"/>
    <s v="ND"/>
    <m/>
    <m/>
    <m/>
    <m/>
    <m/>
    <m/>
    <m/>
    <m/>
    <m/>
    <m/>
    <m/>
    <m/>
    <m/>
    <m/>
    <m/>
  </r>
  <r>
    <x v="8"/>
    <x v="8"/>
    <s v="8725329-5"/>
    <s v="ROBERTO ALEJANDRO "/>
    <s v="COBXDIF"/>
    <x v="0"/>
    <d v="2016-10-01T00:00:00"/>
    <n v="7430"/>
    <n v="145674"/>
    <m/>
    <m/>
    <m/>
    <m/>
    <m/>
    <m/>
    <m/>
    <m/>
    <m/>
    <m/>
    <m/>
    <m/>
    <m/>
  </r>
  <r>
    <x v="8"/>
    <x v="8"/>
    <s v="8725329-5"/>
    <s v="ROBERTO ALEJANDRO "/>
    <s v="COBXDIF"/>
    <x v="0"/>
    <d v="2016-11-01T00:00:00"/>
    <n v="27568"/>
    <n v="530271"/>
    <m/>
    <m/>
    <m/>
    <m/>
    <m/>
    <m/>
    <m/>
    <m/>
    <m/>
    <m/>
    <m/>
    <m/>
    <m/>
  </r>
  <r>
    <x v="8"/>
    <x v="8"/>
    <s v="8725329-5"/>
    <s v="ROBERTO ALEJANDRO "/>
    <s v="COBXDIF"/>
    <x v="0"/>
    <d v="2016-12-01T00:00:00"/>
    <n v="27602"/>
    <n v="521929"/>
    <m/>
    <m/>
    <m/>
    <m/>
    <m/>
    <m/>
    <m/>
    <m/>
    <m/>
    <m/>
    <m/>
    <m/>
    <m/>
  </r>
  <r>
    <x v="8"/>
    <x v="8"/>
    <s v="8725329-5"/>
    <s v="ROBERTO ALEJANDRO "/>
    <s v="COBXDIF"/>
    <x v="0"/>
    <d v="2017-01-01T00:00:00"/>
    <n v="21448"/>
    <n v="397917"/>
    <m/>
    <m/>
    <m/>
    <m/>
    <m/>
    <m/>
    <m/>
    <m/>
    <m/>
    <m/>
    <m/>
    <m/>
    <m/>
  </r>
  <r>
    <x v="8"/>
    <x v="8"/>
    <s v="10506837-9"/>
    <s v="SERGIO JOSE GARCIA URBIN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3963010-6"/>
    <s v="RODRIGO ANDRES MARIN MARIN "/>
    <s v="COBXDIF"/>
    <x v="0"/>
    <d v="2021-01-01T00:00:00"/>
    <n v="1411"/>
    <n v="4224"/>
    <m/>
    <m/>
    <m/>
    <m/>
    <m/>
    <m/>
    <m/>
    <m/>
    <m/>
    <m/>
    <m/>
    <m/>
    <m/>
  </r>
  <r>
    <x v="8"/>
    <x v="8"/>
    <s v="14201299-5"/>
    <s v="FABIAN ALONSO REYES SAAVEDR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0015538-9"/>
    <s v="TEOVALDO GERMAN POBLETE"/>
    <s v="COBXDIF"/>
    <x v="0"/>
    <d v="2021-01-01T00:00:00"/>
    <n v="1536"/>
    <n v="4224"/>
    <m/>
    <m/>
    <m/>
    <m/>
    <m/>
    <m/>
    <m/>
    <m/>
    <m/>
    <m/>
    <m/>
    <m/>
    <m/>
  </r>
  <r>
    <x v="8"/>
    <x v="8"/>
    <s v="10227874-7"/>
    <s v="CARLOS MAURICIO CIFUENTES NAUTO "/>
    <s v="COBXDIF"/>
    <x v="0"/>
    <d v="2021-01-01T00:00:00"/>
    <n v="169"/>
    <n v="4224"/>
    <m/>
    <m/>
    <m/>
    <m/>
    <m/>
    <m/>
    <m/>
    <m/>
    <m/>
    <m/>
    <m/>
    <m/>
    <m/>
  </r>
  <r>
    <x v="8"/>
    <x v="8"/>
    <s v="12194539-8"/>
    <s v="MARISOL YOLANDA CORDOVA ESPANA"/>
    <s v="COBXDIF"/>
    <x v="0"/>
    <d v="2021-01-01T00:00:00"/>
    <n v="678"/>
    <n v="4224"/>
    <m/>
    <m/>
    <m/>
    <m/>
    <m/>
    <m/>
    <m/>
    <m/>
    <m/>
    <m/>
    <m/>
    <m/>
    <m/>
  </r>
  <r>
    <x v="8"/>
    <x v="8"/>
    <s v="14299061-K"/>
    <s v="CRISTIAN HONORINDO "/>
    <s v="COBXDIF"/>
    <x v="0"/>
    <d v="2021-01-01T00:00:00"/>
    <n v="264"/>
    <n v="4224"/>
    <m/>
    <m/>
    <m/>
    <m/>
    <m/>
    <m/>
    <m/>
    <m/>
    <m/>
    <m/>
    <m/>
    <m/>
    <m/>
  </r>
  <r>
    <x v="8"/>
    <x v="8"/>
    <s v="14479093-6"/>
    <s v="CRISTINA ISABEL SEGUEL PINO "/>
    <s v="COBXDIF"/>
    <x v="0"/>
    <d v="2021-01-01T00:00:00"/>
    <n v="336"/>
    <n v="4224"/>
    <m/>
    <m/>
    <m/>
    <m/>
    <m/>
    <m/>
    <m/>
    <m/>
    <m/>
    <m/>
    <m/>
    <m/>
    <m/>
  </r>
  <r>
    <x v="8"/>
    <x v="8"/>
    <s v="17972826-5"/>
    <s v="BORIS NICOLAS SEPULVEDA FLORES "/>
    <s v="COBXDIF"/>
    <x v="0"/>
    <d v="2021-01-01T00:00:00"/>
    <n v="210"/>
    <n v="4224"/>
    <m/>
    <m/>
    <m/>
    <m/>
    <m/>
    <m/>
    <m/>
    <m/>
    <m/>
    <m/>
    <m/>
    <m/>
    <m/>
  </r>
  <r>
    <x v="8"/>
    <x v="8"/>
    <s v="16385968-8"/>
    <s v="JONATHAN ESTEBAN VARGAS"/>
    <s v="COBXDIF"/>
    <x v="0"/>
    <d v="2021-01-01T00:00:00"/>
    <n v="1265"/>
    <n v="4224"/>
    <m/>
    <m/>
    <m/>
    <m/>
    <m/>
    <m/>
    <m/>
    <m/>
    <m/>
    <m/>
    <m/>
    <m/>
    <m/>
  </r>
  <r>
    <x v="8"/>
    <x v="8"/>
    <s v="18133293-K"/>
    <s v="DAVID EMANUEL VERA ANCALI "/>
    <s v="COBXDIF"/>
    <x v="0"/>
    <d v="2021-01-01T00:00:00"/>
    <n v="126"/>
    <n v="4224"/>
    <m/>
    <m/>
    <m/>
    <m/>
    <m/>
    <m/>
    <m/>
    <m/>
    <m/>
    <m/>
    <m/>
    <m/>
    <m/>
  </r>
  <r>
    <x v="8"/>
    <x v="8"/>
    <s v="11811628-3"/>
    <s v="MISAEL VIRGINIO ANTILLANCA"/>
    <s v="COBXDIF"/>
    <x v="0"/>
    <d v="2021-01-01T00:00:00"/>
    <n v="615"/>
    <n v="4224"/>
    <m/>
    <m/>
    <m/>
    <m/>
    <m/>
    <m/>
    <m/>
    <m/>
    <m/>
    <m/>
    <m/>
    <m/>
    <m/>
  </r>
  <r>
    <x v="8"/>
    <x v="8"/>
    <s v="13100917-8"/>
    <s v="CARLA ALEJANDRA CONTRERAS CONTRERAS"/>
    <s v="PLANILLAS COMPLEMENTARIAS"/>
    <x v="8"/>
    <d v="2016-11-01T00:00:00"/>
    <n v="48946"/>
    <n v="936424"/>
    <m/>
    <m/>
    <m/>
    <m/>
    <m/>
    <m/>
    <m/>
    <m/>
    <m/>
    <m/>
    <m/>
    <m/>
    <m/>
  </r>
  <r>
    <x v="8"/>
    <x v="8"/>
    <s v="18436508-1"/>
    <s v="ALEJANDRO ANSELMO MILLAQUEO PAINEMAN"/>
    <s v="PLANILLAS COMPLEMENTARIAS"/>
    <x v="8"/>
    <d v="2016-11-01T00:00:00"/>
    <n v="431"/>
    <n v="8268"/>
    <m/>
    <m/>
    <m/>
    <m/>
    <m/>
    <m/>
    <m/>
    <m/>
    <m/>
    <m/>
    <m/>
    <m/>
    <m/>
  </r>
  <r>
    <x v="8"/>
    <x v="8"/>
    <s v="19072137-K"/>
    <s v="ACUNA SILVA DANIEL PATRICIO "/>
    <s v="DNPA"/>
    <x v="5"/>
    <d v="2017-08-01T00:00:00"/>
    <n v="10000"/>
    <n v="157517"/>
    <n v="31503.4"/>
    <m/>
    <m/>
    <m/>
    <m/>
    <m/>
    <m/>
    <m/>
    <m/>
    <m/>
    <m/>
    <s v="Enviar a Gestionar"/>
    <m/>
  </r>
  <r>
    <x v="8"/>
    <x v="8"/>
    <s v="19366252-8"/>
    <s v="VARGAS POVEDA VICTOR MANUEL "/>
    <s v="PLANILLAS COMPLEMENTARIAS"/>
    <x v="5"/>
    <d v="2018-04-01T00:00:00"/>
    <n v="6578"/>
    <n v="88310"/>
    <m/>
    <m/>
    <m/>
    <m/>
    <m/>
    <m/>
    <m/>
    <m/>
    <m/>
    <m/>
    <m/>
    <m/>
    <m/>
  </r>
  <r>
    <x v="8"/>
    <x v="8"/>
    <s v="17592680-1"/>
    <s v="ARRA FERNANDEZ GUSTAVO BERNARDO "/>
    <s v="DNPA"/>
    <x v="6"/>
    <d v="2024-12-01T00:00:00"/>
    <n v="10000"/>
    <n v="14080"/>
    <n v="2816"/>
    <m/>
    <m/>
    <m/>
    <m/>
    <m/>
    <m/>
    <m/>
    <m/>
    <m/>
    <m/>
    <s v="Enviar a Gestionar"/>
    <m/>
  </r>
  <r>
    <x v="8"/>
    <x v="8"/>
    <s v="9760921-7"/>
    <s v="ULLOA CONCHA MITZA LORENA"/>
    <s v="DNPA"/>
    <x v="6"/>
    <d v="2024-12-01T00:00:00"/>
    <n v="50000"/>
    <n v="71115"/>
    <n v="14223"/>
    <m/>
    <m/>
    <m/>
    <m/>
    <m/>
    <m/>
    <m/>
    <m/>
    <m/>
    <m/>
    <s v="Enviar a Gestionar"/>
    <m/>
  </r>
  <r>
    <x v="8"/>
    <x v="8"/>
    <s v="ND"/>
    <s v="ND"/>
    <s v="ND"/>
    <x v="7"/>
    <s v="ND"/>
    <m/>
    <m/>
    <m/>
    <m/>
    <m/>
    <m/>
    <m/>
    <m/>
    <m/>
    <m/>
    <m/>
    <m/>
    <m/>
    <m/>
    <m/>
  </r>
  <r>
    <x v="9"/>
    <x v="9"/>
    <s v="ND"/>
    <s v="ND"/>
    <s v="ND"/>
    <x v="1"/>
    <s v="ND"/>
    <m/>
    <m/>
    <m/>
    <m/>
    <m/>
    <m/>
    <m/>
    <m/>
    <m/>
    <m/>
    <m/>
    <m/>
    <m/>
    <m/>
    <m/>
  </r>
  <r>
    <x v="9"/>
    <x v="9"/>
    <s v="ND"/>
    <s v="ND"/>
    <s v="ND"/>
    <x v="2"/>
    <s v="ND"/>
    <m/>
    <m/>
    <m/>
    <m/>
    <m/>
    <m/>
    <m/>
    <m/>
    <m/>
    <m/>
    <m/>
    <m/>
    <m/>
    <m/>
    <m/>
  </r>
  <r>
    <x v="9"/>
    <x v="9"/>
    <s v="ND"/>
    <s v="ND"/>
    <s v="ND"/>
    <x v="3"/>
    <s v="ND"/>
    <m/>
    <m/>
    <m/>
    <m/>
    <m/>
    <m/>
    <m/>
    <m/>
    <m/>
    <m/>
    <m/>
    <m/>
    <m/>
    <m/>
    <m/>
  </r>
  <r>
    <x v="9"/>
    <x v="9"/>
    <s v="ND"/>
    <s v="ND"/>
    <s v="ND"/>
    <x v="0"/>
    <s v="ND"/>
    <m/>
    <m/>
    <m/>
    <m/>
    <m/>
    <m/>
    <m/>
    <m/>
    <m/>
    <m/>
    <m/>
    <m/>
    <m/>
    <m/>
    <m/>
  </r>
  <r>
    <x v="9"/>
    <x v="9"/>
    <s v="ND"/>
    <s v="ND"/>
    <s v="ND"/>
    <x v="8"/>
    <s v="ND"/>
    <m/>
    <m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3-01T00:00:00"/>
    <n v="6485"/>
    <n v="8940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4-01T00:00:00"/>
    <n v="6373"/>
    <n v="86123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5-01T00:00:00"/>
    <n v="6795"/>
    <n v="8992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6-01T00:00:00"/>
    <n v="6795"/>
    <n v="88331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7-01T00:00:00"/>
    <n v="6570"/>
    <n v="83767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8-01T00:00:00"/>
    <n v="6487"/>
    <n v="81165"/>
    <m/>
    <m/>
    <m/>
    <m/>
    <m/>
    <m/>
    <m/>
    <m/>
    <m/>
    <m/>
    <m/>
    <m/>
    <m/>
  </r>
  <r>
    <x v="9"/>
    <x v="9"/>
    <s v="ND"/>
    <s v="ND"/>
    <s v="ND"/>
    <x v="6"/>
    <s v="ND"/>
    <m/>
    <m/>
    <m/>
    <m/>
    <m/>
    <m/>
    <m/>
    <m/>
    <m/>
    <m/>
    <m/>
    <m/>
    <m/>
    <m/>
    <m/>
  </r>
  <r>
    <x v="9"/>
    <x v="9"/>
    <s v="ND"/>
    <s v="ND"/>
    <s v="ND"/>
    <x v="7"/>
    <s v="ND"/>
    <m/>
    <m/>
    <m/>
    <m/>
    <m/>
    <m/>
    <m/>
    <m/>
    <m/>
    <m/>
    <m/>
    <m/>
    <m/>
    <m/>
    <m/>
  </r>
  <r>
    <x v="10"/>
    <x v="10"/>
    <s v="ND"/>
    <s v="ND"/>
    <s v="ND"/>
    <x v="1"/>
    <s v="ND"/>
    <m/>
    <m/>
    <m/>
    <m/>
    <m/>
    <m/>
    <m/>
    <m/>
    <m/>
    <m/>
    <m/>
    <m/>
    <m/>
    <m/>
    <m/>
  </r>
  <r>
    <x v="10"/>
    <x v="10"/>
    <s v="ND"/>
    <s v="ND"/>
    <s v="ND"/>
    <x v="2"/>
    <s v="ND"/>
    <m/>
    <m/>
    <m/>
    <m/>
    <m/>
    <m/>
    <m/>
    <m/>
    <m/>
    <m/>
    <m/>
    <m/>
    <m/>
    <m/>
    <m/>
  </r>
  <r>
    <x v="10"/>
    <x v="10"/>
    <s v="ND"/>
    <s v="ND"/>
    <s v="ND"/>
    <x v="3"/>
    <s v="ND"/>
    <m/>
    <m/>
    <m/>
    <m/>
    <m/>
    <m/>
    <m/>
    <m/>
    <m/>
    <m/>
    <m/>
    <m/>
    <m/>
    <m/>
    <m/>
  </r>
  <r>
    <x v="10"/>
    <x v="10"/>
    <s v="ND"/>
    <s v="ND"/>
    <s v="ND"/>
    <x v="0"/>
    <s v="ND"/>
    <m/>
    <m/>
    <m/>
    <m/>
    <m/>
    <m/>
    <m/>
    <m/>
    <m/>
    <m/>
    <m/>
    <m/>
    <m/>
    <m/>
    <m/>
  </r>
  <r>
    <x v="10"/>
    <x v="10"/>
    <s v="ND"/>
    <s v="ND"/>
    <s v="ND"/>
    <x v="8"/>
    <s v="ND"/>
    <m/>
    <m/>
    <m/>
    <m/>
    <m/>
    <m/>
    <m/>
    <m/>
    <m/>
    <m/>
    <m/>
    <m/>
    <m/>
    <m/>
    <m/>
  </r>
  <r>
    <x v="10"/>
    <x v="10"/>
    <s v="ND"/>
    <s v="ND"/>
    <s v="ND"/>
    <x v="5"/>
    <s v="ND"/>
    <m/>
    <m/>
    <m/>
    <m/>
    <m/>
    <m/>
    <m/>
    <m/>
    <m/>
    <m/>
    <m/>
    <m/>
    <m/>
    <m/>
    <m/>
  </r>
  <r>
    <x v="10"/>
    <x v="10"/>
    <s v="ND"/>
    <s v="ND"/>
    <s v="ND"/>
    <x v="6"/>
    <s v="ND"/>
    <m/>
    <m/>
    <m/>
    <m/>
    <m/>
    <m/>
    <m/>
    <m/>
    <m/>
    <m/>
    <m/>
    <m/>
    <m/>
    <m/>
    <m/>
  </r>
  <r>
    <x v="11"/>
    <x v="11"/>
    <s v="ND"/>
    <s v="ND"/>
    <s v="ND"/>
    <x v="1"/>
    <s v="ND"/>
    <m/>
    <m/>
    <m/>
    <m/>
    <m/>
    <m/>
    <m/>
    <m/>
    <m/>
    <m/>
    <m/>
    <m/>
    <m/>
    <m/>
    <m/>
  </r>
  <r>
    <x v="11"/>
    <x v="11"/>
    <s v="ND"/>
    <s v="ND"/>
    <s v="ND"/>
    <x v="3"/>
    <s v="ND"/>
    <m/>
    <m/>
    <m/>
    <m/>
    <m/>
    <m/>
    <m/>
    <m/>
    <m/>
    <m/>
    <m/>
    <m/>
    <m/>
    <m/>
    <m/>
  </r>
  <r>
    <x v="11"/>
    <x v="11"/>
    <s v="ND"/>
    <s v="ND"/>
    <s v="ND"/>
    <x v="5"/>
    <s v="ND"/>
    <m/>
    <m/>
    <m/>
    <m/>
    <m/>
    <m/>
    <m/>
    <m/>
    <m/>
    <m/>
    <m/>
    <m/>
    <m/>
    <m/>
    <m/>
  </r>
  <r>
    <x v="12"/>
    <x v="12"/>
    <s v="ND"/>
    <s v="ND"/>
    <s v="ND"/>
    <x v="1"/>
    <s v="ND"/>
    <m/>
    <m/>
    <m/>
    <m/>
    <m/>
    <m/>
    <m/>
    <m/>
    <m/>
    <m/>
    <m/>
    <m/>
    <m/>
    <m/>
    <m/>
  </r>
  <r>
    <x v="12"/>
    <x v="12"/>
    <s v="ND"/>
    <s v="ND"/>
    <s v="ND"/>
    <x v="3"/>
    <s v="ND"/>
    <m/>
    <m/>
    <m/>
    <m/>
    <m/>
    <m/>
    <m/>
    <m/>
    <m/>
    <m/>
    <m/>
    <m/>
    <m/>
    <m/>
    <m/>
  </r>
  <r>
    <x v="12"/>
    <x v="12"/>
    <s v="ND"/>
    <s v="ND"/>
    <s v="ND"/>
    <x v="0"/>
    <s v="ND"/>
    <m/>
    <m/>
    <m/>
    <m/>
    <m/>
    <m/>
    <m/>
    <m/>
    <m/>
    <m/>
    <m/>
    <m/>
    <m/>
    <m/>
    <m/>
  </r>
  <r>
    <x v="13"/>
    <x v="13"/>
    <s v="ND"/>
    <s v="ND"/>
    <s v="ND"/>
    <x v="2"/>
    <s v="ND"/>
    <m/>
    <m/>
    <m/>
    <m/>
    <m/>
    <m/>
    <m/>
    <m/>
    <m/>
    <m/>
    <m/>
    <m/>
    <m/>
    <m/>
    <m/>
  </r>
  <r>
    <x v="13"/>
    <x v="13"/>
    <s v="ND"/>
    <s v="ND"/>
    <s v="ND"/>
    <x v="3"/>
    <s v="ND"/>
    <m/>
    <m/>
    <m/>
    <m/>
    <m/>
    <m/>
    <m/>
    <m/>
    <m/>
    <m/>
    <m/>
    <m/>
    <m/>
    <m/>
    <m/>
  </r>
  <r>
    <x v="13"/>
    <x v="13"/>
    <s v="10385944-1"/>
    <s v="JANNETTE CARMEN BRITO "/>
    <s v="DNPA"/>
    <x v="0"/>
    <d v="2025-12-01T00:00:00"/>
    <n v="20000"/>
    <n v="20748"/>
    <n v="4149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1-01T00:00:00"/>
    <n v="20000"/>
    <n v="20967"/>
    <n v="4193.400000000001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0-01T00:00:00"/>
    <n v="30000"/>
    <n v="31674"/>
    <n v="6334.8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9-01T00:00:00"/>
    <n v="30000"/>
    <n v="21403"/>
    <n v="4280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8-01T00:00:00"/>
    <n v="30000"/>
    <n v="21923"/>
    <n v="4384.6"/>
    <m/>
    <m/>
    <m/>
    <m/>
    <m/>
    <m/>
    <m/>
    <m/>
    <m/>
    <m/>
    <s v="Enviar a Gestionar"/>
    <m/>
  </r>
  <r>
    <x v="13"/>
    <x v="13"/>
    <s v="6455487-5"/>
    <s v="ORLANDO ISMAEL MEDINA CASTRO "/>
    <s v="COBXDIF"/>
    <x v="0"/>
    <d v="2009-11-01T00:00:00"/>
    <n v="5537"/>
    <n v="441059"/>
    <m/>
    <m/>
    <m/>
    <m/>
    <m/>
    <m/>
    <m/>
    <m/>
    <m/>
    <m/>
    <m/>
    <m/>
    <m/>
  </r>
  <r>
    <x v="13"/>
    <x v="13"/>
    <s v="18711684-8"/>
    <s v="MOSQUEIRA RUIZ GERARDO ANTONIO "/>
    <s v="PLANILLAS COMPLEMENTARIAS"/>
    <x v="8"/>
    <d v="2014-01-01T00:00:00"/>
    <n v="28276"/>
    <n v="969264"/>
    <m/>
    <m/>
    <m/>
    <m/>
    <m/>
    <m/>
    <m/>
    <m/>
    <m/>
    <m/>
    <m/>
    <m/>
    <m/>
  </r>
  <r>
    <x v="13"/>
    <x v="13"/>
    <s v="13397930-1"/>
    <s v="CISTERNAS LEAL HECTOR PATRICIO "/>
    <s v="PLANILLAS COMPLEMENTARIAS"/>
    <x v="5"/>
    <d v="2011-05-01T00:00:00"/>
    <n v="6709"/>
    <n v="398828"/>
    <m/>
    <m/>
    <m/>
    <m/>
    <m/>
    <m/>
    <m/>
    <m/>
    <m/>
    <m/>
    <m/>
    <m/>
    <m/>
  </r>
  <r>
    <x v="13"/>
    <x v="13"/>
    <s v="17532361-9"/>
    <s v="AGUILAR AGUILA LEANDRO HATMAN"/>
    <s v="PLANILLAS COMPLEMENTARIAS"/>
    <x v="5"/>
    <d v="2012-07-01T00:00:00"/>
    <n v="3474"/>
    <n v="168733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09-01T00:00:00"/>
    <n v="5098"/>
    <n v="188209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10-01T00:00:00"/>
    <n v="4990"/>
    <n v="180714"/>
    <m/>
    <m/>
    <m/>
    <m/>
    <m/>
    <m/>
    <m/>
    <m/>
    <m/>
    <m/>
    <m/>
    <m/>
    <m/>
  </r>
  <r>
    <x v="13"/>
    <x v="13"/>
    <s v="262235992-1"/>
    <s v="SAINT-FLEUR EXAU"/>
    <s v="DNPA"/>
    <x v="5"/>
    <d v="2024-09-01T00:00:00"/>
    <n v="179851"/>
    <n v="288916"/>
    <n v="57783.2"/>
    <m/>
    <m/>
    <m/>
    <m/>
    <m/>
    <m/>
    <m/>
    <m/>
    <m/>
    <m/>
    <s v="Enviar a Gestionar"/>
    <m/>
  </r>
  <r>
    <x v="13"/>
    <x v="13"/>
    <s v="26633473-7"/>
    <s v="SAINTE FLEUR FRANTZSO"/>
    <s v="DNPA"/>
    <x v="5"/>
    <d v="2024-09-01T00:00:00"/>
    <n v="106367"/>
    <n v="172271"/>
    <n v="34454.2"/>
    <m/>
    <m/>
    <m/>
    <m/>
    <m/>
    <m/>
    <m/>
    <m/>
    <m/>
    <m/>
    <s v="Enviar a Gestionar"/>
    <m/>
  </r>
  <r>
    <x v="13"/>
    <x v="13"/>
    <s v="26235992-1"/>
    <s v="SAINT-FLEUR EXAU"/>
    <s v="PLANILLAS COMPLEMENTARIAS"/>
    <x v="5"/>
    <d v="2024-11-01T00:00:00"/>
    <n v="194445"/>
    <n v="289697"/>
    <m/>
    <m/>
    <m/>
    <m/>
    <m/>
    <m/>
    <m/>
    <m/>
    <m/>
    <m/>
    <m/>
    <m/>
    <m/>
  </r>
  <r>
    <x v="13"/>
    <x v="13"/>
    <s v="15227029-1"/>
    <s v="MORAGA LUNA VICTOR ANDRES"/>
    <s v="DNPA"/>
    <x v="6"/>
    <d v="2025-04-01T00:00:00"/>
    <n v="75000"/>
    <n v="93496"/>
    <n v="18699.2"/>
    <m/>
    <m/>
    <m/>
    <m/>
    <m/>
    <m/>
    <m/>
    <m/>
    <m/>
    <m/>
    <s v="Enviar a Gestionar"/>
    <m/>
  </r>
  <r>
    <x v="13"/>
    <x v="13"/>
    <s v="15227029-1"/>
    <s v="MORAGA LUNA VICTOR ANDRES"/>
    <s v="DNPA"/>
    <x v="6"/>
    <d v="2025-05-01T00:00:00"/>
    <n v="75000"/>
    <n v="88857"/>
    <n v="17771.4"/>
    <m/>
    <m/>
    <m/>
    <m/>
    <m/>
    <m/>
    <m/>
    <m/>
    <m/>
    <m/>
    <s v="Enviar a Gestionar"/>
    <m/>
  </r>
  <r>
    <x v="13"/>
    <x v="13"/>
    <s v="ND"/>
    <s v="ND"/>
    <s v="ND"/>
    <x v="7"/>
    <s v="ND"/>
    <m/>
    <m/>
    <m/>
    <m/>
    <m/>
    <m/>
    <m/>
    <m/>
    <m/>
    <m/>
    <m/>
    <m/>
    <m/>
    <m/>
    <m/>
  </r>
  <r>
    <x v="4"/>
    <x v="4"/>
    <s v="12023729-2"/>
    <s v="JAIME FELIPE ZINIGA DE"/>
    <s v="COBXDIF"/>
    <x v="0"/>
    <d v="2017-03-01T00:00:00"/>
    <n v="28256"/>
    <n v="506861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2023729-2"/>
    <s v="JAIME FELIPE ZINIGA DE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2023729-2"/>
    <s v="JAIME FELIPE ZINIGA DE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2023729-2"/>
    <s v="JAIME FELIPE ZINIGA DE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ND"/>
    <s v="ND"/>
    <s v="ND"/>
    <x v="7"/>
    <s v="ND"/>
    <m/>
    <m/>
    <m/>
    <m/>
    <m/>
    <m/>
    <m/>
    <m/>
    <m/>
    <m/>
    <m/>
    <m/>
    <m/>
    <m/>
    <m/>
  </r>
  <r>
    <x v="14"/>
    <x v="14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2"/>
    <s v="ND"/>
    <m/>
    <m/>
    <m/>
    <m/>
    <m/>
    <m/>
    <m/>
    <m/>
    <m/>
    <m/>
    <m/>
    <m/>
    <m/>
    <m/>
    <m/>
  </r>
  <r>
    <x v="15"/>
    <x v="15"/>
    <s v="ND"/>
    <s v="ND"/>
    <s v="ND"/>
    <x v="3"/>
    <s v="ND"/>
    <m/>
    <m/>
    <m/>
    <m/>
    <m/>
    <m/>
    <m/>
    <m/>
    <m/>
    <m/>
    <m/>
    <m/>
    <m/>
    <m/>
    <m/>
  </r>
  <r>
    <x v="15"/>
    <x v="15"/>
    <s v="ND"/>
    <s v="ND"/>
    <s v="ND"/>
    <x v="0"/>
    <s v="ND"/>
    <m/>
    <m/>
    <m/>
    <m/>
    <m/>
    <m/>
    <m/>
    <m/>
    <m/>
    <m/>
    <m/>
    <m/>
    <m/>
    <m/>
    <m/>
  </r>
  <r>
    <x v="15"/>
    <x v="15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6"/>
    <s v="ND"/>
    <m/>
    <m/>
    <m/>
    <m/>
    <m/>
    <m/>
    <m/>
    <m/>
    <m/>
    <m/>
    <m/>
    <m/>
    <m/>
    <m/>
    <m/>
  </r>
  <r>
    <x v="15"/>
    <x v="15"/>
    <s v="ND"/>
    <s v="ND"/>
    <s v="ND"/>
    <x v="7"/>
    <s v="ND"/>
    <m/>
    <m/>
    <m/>
    <m/>
    <m/>
    <m/>
    <m/>
    <m/>
    <m/>
    <m/>
    <m/>
    <m/>
    <m/>
    <m/>
    <m/>
  </r>
  <r>
    <x v="13"/>
    <x v="13"/>
    <m/>
    <m/>
    <m/>
    <x v="1"/>
    <d v="2025-12-01T00:00:00"/>
    <n v="886800"/>
    <n v="915884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count="163">
  <r>
    <x v="0"/>
    <x v="0"/>
    <s v="13579555-0"/>
    <s v="PATRICIO HERNAN GONZALEZ PANES"/>
    <s v="DNPA"/>
    <x v="0"/>
    <d v="2025-11-01T00:00:00"/>
    <n v="30000"/>
    <n v="31449"/>
    <n v="6289.8"/>
    <m/>
    <m/>
    <m/>
    <m/>
    <m/>
    <m/>
    <m/>
    <m/>
    <m/>
    <m/>
    <s v="Enviar a Gestionar"/>
    <m/>
  </r>
  <r>
    <x v="0"/>
    <x v="0"/>
    <s v="13579555-0"/>
    <s v="PATRICIO HERNAN GONZALEZ PANES"/>
    <s v="DNPA"/>
    <x v="0"/>
    <d v="2025-12-01T00:00:00"/>
    <n v="30000"/>
    <n v="31122"/>
    <n v="6224.400000000001"/>
    <m/>
    <m/>
    <m/>
    <m/>
    <m/>
    <m/>
    <m/>
    <m/>
    <m/>
    <m/>
    <s v="Enviar a Gestionar"/>
    <m/>
  </r>
  <r>
    <x v="0"/>
    <x v="0"/>
    <s v="ND"/>
    <s v="ND"/>
    <s v="ND"/>
    <x v="1"/>
    <s v="ND"/>
    <m/>
    <m/>
    <m/>
    <m/>
    <m/>
    <m/>
    <m/>
    <m/>
    <m/>
    <m/>
    <m/>
    <m/>
    <m/>
    <m/>
    <m/>
  </r>
  <r>
    <x v="0"/>
    <x v="0"/>
    <s v="ND"/>
    <s v="ND"/>
    <s v="ND"/>
    <x v="2"/>
    <s v="ND"/>
    <m/>
    <m/>
    <m/>
    <m/>
    <m/>
    <m/>
    <m/>
    <m/>
    <m/>
    <m/>
    <m/>
    <m/>
    <m/>
    <m/>
    <m/>
  </r>
  <r>
    <x v="0"/>
    <x v="0"/>
    <m/>
    <s v="ND"/>
    <s v="ND"/>
    <x v="3"/>
    <s v="ND"/>
    <m/>
    <m/>
    <m/>
    <m/>
    <m/>
    <m/>
    <m/>
    <m/>
    <m/>
    <m/>
    <m/>
    <m/>
    <m/>
    <m/>
    <m/>
  </r>
  <r>
    <x v="0"/>
    <x v="0"/>
    <s v="ND"/>
    <s v="ND"/>
    <s v="ND"/>
    <x v="4"/>
    <s v="ND"/>
    <m/>
    <m/>
    <m/>
    <m/>
    <m/>
    <m/>
    <m/>
    <m/>
    <m/>
    <m/>
    <m/>
    <m/>
    <m/>
    <m/>
    <m/>
  </r>
  <r>
    <x v="0"/>
    <x v="0"/>
    <s v="ND"/>
    <s v="ND"/>
    <s v="ND"/>
    <x v="5"/>
    <s v="ND"/>
    <m/>
    <m/>
    <m/>
    <m/>
    <m/>
    <m/>
    <m/>
    <m/>
    <m/>
    <m/>
    <m/>
    <m/>
    <m/>
    <m/>
    <m/>
  </r>
  <r>
    <x v="0"/>
    <x v="0"/>
    <s v="ND"/>
    <s v="ND"/>
    <s v="ND"/>
    <x v="6"/>
    <s v="ND"/>
    <m/>
    <m/>
    <m/>
    <m/>
    <m/>
    <m/>
    <m/>
    <m/>
    <m/>
    <m/>
    <m/>
    <m/>
    <m/>
    <m/>
    <m/>
  </r>
  <r>
    <x v="0"/>
    <x v="0"/>
    <s v="ND"/>
    <s v="ND"/>
    <s v="ND"/>
    <x v="7"/>
    <s v="ND"/>
    <m/>
    <m/>
    <m/>
    <m/>
    <m/>
    <m/>
    <m/>
    <m/>
    <m/>
    <m/>
    <m/>
    <m/>
    <m/>
    <m/>
    <m/>
  </r>
  <r>
    <x v="1"/>
    <x v="1"/>
    <s v="ND"/>
    <s v="ND"/>
    <s v="ND"/>
    <x v="1"/>
    <s v="ND"/>
    <m/>
    <m/>
    <m/>
    <m/>
    <m/>
    <m/>
    <m/>
    <m/>
    <m/>
    <m/>
    <m/>
    <m/>
    <m/>
    <m/>
    <m/>
  </r>
  <r>
    <x v="1"/>
    <x v="1"/>
    <s v="ND"/>
    <s v="ND"/>
    <s v="ND"/>
    <x v="2"/>
    <s v="ND"/>
    <m/>
    <m/>
    <m/>
    <m/>
    <m/>
    <m/>
    <m/>
    <m/>
    <m/>
    <m/>
    <m/>
    <m/>
    <m/>
    <m/>
    <m/>
  </r>
  <r>
    <x v="1"/>
    <x v="1"/>
    <s v="ND"/>
    <s v="ND"/>
    <s v="ND"/>
    <x v="3"/>
    <s v="ND"/>
    <m/>
    <m/>
    <m/>
    <m/>
    <m/>
    <m/>
    <m/>
    <m/>
    <m/>
    <m/>
    <m/>
    <m/>
    <m/>
    <m/>
    <m/>
  </r>
  <r>
    <x v="1"/>
    <x v="1"/>
    <s v="ND"/>
    <s v="ND"/>
    <s v="ND"/>
    <x v="0"/>
    <s v="ND"/>
    <m/>
    <m/>
    <m/>
    <m/>
    <m/>
    <m/>
    <m/>
    <m/>
    <m/>
    <m/>
    <m/>
    <m/>
    <m/>
    <m/>
    <m/>
  </r>
  <r>
    <x v="1"/>
    <x v="1"/>
    <s v="ND"/>
    <s v="ND"/>
    <s v="ND"/>
    <x v="4"/>
    <s v="ND"/>
    <m/>
    <m/>
    <m/>
    <m/>
    <m/>
    <m/>
    <m/>
    <m/>
    <m/>
    <m/>
    <m/>
    <m/>
    <m/>
    <m/>
    <m/>
  </r>
  <r>
    <x v="1"/>
    <x v="1"/>
    <s v="ND"/>
    <s v="ND"/>
    <s v="ND"/>
    <x v="5"/>
    <s v="ND"/>
    <m/>
    <m/>
    <m/>
    <m/>
    <m/>
    <m/>
    <m/>
    <m/>
    <m/>
    <m/>
    <m/>
    <m/>
    <m/>
    <m/>
    <m/>
  </r>
  <r>
    <x v="1"/>
    <x v="1"/>
    <s v="ND"/>
    <s v="ND"/>
    <s v="ND"/>
    <x v="6"/>
    <s v="ND"/>
    <m/>
    <m/>
    <m/>
    <m/>
    <m/>
    <m/>
    <m/>
    <m/>
    <m/>
    <m/>
    <m/>
    <m/>
    <m/>
    <m/>
    <m/>
  </r>
  <r>
    <x v="1"/>
    <x v="1"/>
    <s v="ND"/>
    <s v="ND"/>
    <s v="ND"/>
    <x v="7"/>
    <s v="ND"/>
    <m/>
    <m/>
    <m/>
    <m/>
    <m/>
    <m/>
    <m/>
    <m/>
    <m/>
    <m/>
    <m/>
    <m/>
    <m/>
    <m/>
    <m/>
  </r>
  <r>
    <x v="2"/>
    <x v="2"/>
    <s v="ND"/>
    <s v="ND"/>
    <s v="ND"/>
    <x v="1"/>
    <s v="ND"/>
    <m/>
    <m/>
    <m/>
    <m/>
    <m/>
    <m/>
    <m/>
    <m/>
    <m/>
    <m/>
    <m/>
    <m/>
    <m/>
    <m/>
    <m/>
  </r>
  <r>
    <x v="2"/>
    <x v="2"/>
    <s v="ND"/>
    <s v="ND"/>
    <s v="ND"/>
    <x v="2"/>
    <s v="ND"/>
    <m/>
    <m/>
    <m/>
    <m/>
    <m/>
    <m/>
    <m/>
    <m/>
    <m/>
    <m/>
    <m/>
    <m/>
    <m/>
    <m/>
    <m/>
  </r>
  <r>
    <x v="2"/>
    <x v="2"/>
    <s v="ND"/>
    <s v="ND"/>
    <s v="ND"/>
    <x v="3"/>
    <s v="ND"/>
    <m/>
    <m/>
    <m/>
    <m/>
    <m/>
    <m/>
    <m/>
    <m/>
    <m/>
    <m/>
    <m/>
    <m/>
    <m/>
    <m/>
    <m/>
  </r>
  <r>
    <x v="2"/>
    <x v="2"/>
    <s v="ND"/>
    <s v="ND"/>
    <s v="ND"/>
    <x v="0"/>
    <s v="ND"/>
    <m/>
    <m/>
    <m/>
    <m/>
    <m/>
    <m/>
    <m/>
    <m/>
    <m/>
    <m/>
    <m/>
    <m/>
    <m/>
    <m/>
    <m/>
  </r>
  <r>
    <x v="2"/>
    <x v="2"/>
    <s v="ND"/>
    <s v="ND"/>
    <s v="ND"/>
    <x v="4"/>
    <s v="ND"/>
    <m/>
    <m/>
    <m/>
    <m/>
    <m/>
    <m/>
    <m/>
    <m/>
    <m/>
    <m/>
    <m/>
    <m/>
    <m/>
    <m/>
    <m/>
  </r>
  <r>
    <x v="2"/>
    <x v="2"/>
    <s v="ND"/>
    <s v="ND"/>
    <s v="ND"/>
    <x v="5"/>
    <s v="ND"/>
    <m/>
    <m/>
    <m/>
    <m/>
    <m/>
    <m/>
    <m/>
    <m/>
    <m/>
    <m/>
    <m/>
    <m/>
    <m/>
    <m/>
    <m/>
  </r>
  <r>
    <x v="2"/>
    <x v="2"/>
    <s v="ND"/>
    <s v="ND"/>
    <s v="ND"/>
    <x v="6"/>
    <s v="ND"/>
    <m/>
    <m/>
    <m/>
    <m/>
    <m/>
    <m/>
    <m/>
    <m/>
    <m/>
    <m/>
    <m/>
    <m/>
    <m/>
    <m/>
    <m/>
  </r>
  <r>
    <x v="2"/>
    <x v="2"/>
    <s v="ND"/>
    <s v="ND"/>
    <s v="ND"/>
    <x v="7"/>
    <s v="ND"/>
    <m/>
    <m/>
    <m/>
    <m/>
    <m/>
    <m/>
    <m/>
    <m/>
    <m/>
    <m/>
    <m/>
    <m/>
    <m/>
    <m/>
    <m/>
  </r>
  <r>
    <x v="3"/>
    <x v="3"/>
    <s v="ND"/>
    <s v="ND"/>
    <s v="ND"/>
    <x v="1"/>
    <s v="ND"/>
    <m/>
    <m/>
    <m/>
    <m/>
    <m/>
    <m/>
    <m/>
    <m/>
    <m/>
    <m/>
    <m/>
    <m/>
    <m/>
    <m/>
    <m/>
  </r>
  <r>
    <x v="3"/>
    <x v="3"/>
    <s v="ND"/>
    <s v="ND"/>
    <s v="ND"/>
    <x v="3"/>
    <s v="ND"/>
    <m/>
    <m/>
    <m/>
    <m/>
    <m/>
    <m/>
    <m/>
    <m/>
    <m/>
    <m/>
    <m/>
    <m/>
    <m/>
    <m/>
    <m/>
  </r>
  <r>
    <x v="3"/>
    <x v="3"/>
    <s v="ND"/>
    <s v="ND"/>
    <s v="ND"/>
    <x v="0"/>
    <s v="ND"/>
    <m/>
    <m/>
    <m/>
    <m/>
    <m/>
    <m/>
    <m/>
    <m/>
    <m/>
    <m/>
    <m/>
    <m/>
    <m/>
    <m/>
    <m/>
  </r>
  <r>
    <x v="4"/>
    <x v="4"/>
    <s v="ND"/>
    <s v="ND"/>
    <s v="ND"/>
    <x v="1"/>
    <s v="ND"/>
    <m/>
    <m/>
    <m/>
    <m/>
    <m/>
    <m/>
    <m/>
    <m/>
    <m/>
    <m/>
    <m/>
    <m/>
    <m/>
    <m/>
    <m/>
  </r>
  <r>
    <x v="4"/>
    <x v="4"/>
    <s v="ND"/>
    <s v="ND"/>
    <s v="ND"/>
    <x v="2"/>
    <s v="ND"/>
    <m/>
    <m/>
    <m/>
    <m/>
    <m/>
    <m/>
    <m/>
    <m/>
    <m/>
    <m/>
    <m/>
    <m/>
    <m/>
    <m/>
    <m/>
  </r>
  <r>
    <x v="4"/>
    <x v="4"/>
    <s v="ND"/>
    <s v="ND"/>
    <s v="ND"/>
    <x v="3"/>
    <s v="ND"/>
    <m/>
    <m/>
    <m/>
    <m/>
    <m/>
    <m/>
    <m/>
    <m/>
    <m/>
    <m/>
    <m/>
    <m/>
    <m/>
    <m/>
    <m/>
  </r>
  <r>
    <x v="4"/>
    <x v="4"/>
    <s v="ND"/>
    <s v="ND"/>
    <s v="ND"/>
    <x v="4"/>
    <s v="ND"/>
    <m/>
    <m/>
    <m/>
    <m/>
    <m/>
    <m/>
    <m/>
    <m/>
    <m/>
    <m/>
    <m/>
    <m/>
    <m/>
    <m/>
    <m/>
  </r>
  <r>
    <x v="4"/>
    <x v="4"/>
    <s v="ND"/>
    <s v="ND"/>
    <s v="ND"/>
    <x v="5"/>
    <s v="ND"/>
    <m/>
    <m/>
    <m/>
    <m/>
    <m/>
    <m/>
    <m/>
    <m/>
    <m/>
    <m/>
    <m/>
    <m/>
    <m/>
    <m/>
    <m/>
  </r>
  <r>
    <x v="4"/>
    <x v="4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1"/>
    <s v="ND"/>
    <m/>
    <m/>
    <m/>
    <m/>
    <m/>
    <m/>
    <m/>
    <m/>
    <m/>
    <m/>
    <m/>
    <m/>
    <m/>
    <m/>
    <m/>
  </r>
  <r>
    <x v="5"/>
    <x v="5"/>
    <s v="ND"/>
    <s v="ND"/>
    <s v="ND"/>
    <x v="2"/>
    <s v="ND"/>
    <m/>
    <m/>
    <m/>
    <m/>
    <m/>
    <m/>
    <m/>
    <m/>
    <m/>
    <m/>
    <m/>
    <m/>
    <m/>
    <m/>
    <m/>
  </r>
  <r>
    <x v="5"/>
    <x v="5"/>
    <s v="ND"/>
    <s v="ND"/>
    <s v="ND"/>
    <x v="3"/>
    <s v="ND"/>
    <m/>
    <m/>
    <m/>
    <m/>
    <m/>
    <m/>
    <m/>
    <m/>
    <m/>
    <m/>
    <m/>
    <m/>
    <m/>
    <m/>
    <m/>
  </r>
  <r>
    <x v="5"/>
    <x v="5"/>
    <s v="8725329-5"/>
    <s v="ROBERTO ALEJANDRO "/>
    <s v="COBXDIF"/>
    <x v="0"/>
    <d v="2017-01-01T00:00:00"/>
    <n v="10462"/>
    <n v="194067"/>
    <m/>
    <m/>
    <m/>
    <m/>
    <m/>
    <m/>
    <m/>
    <m/>
    <m/>
    <m/>
    <m/>
    <m/>
    <m/>
  </r>
  <r>
    <x v="5"/>
    <x v="5"/>
    <s v="8725329-5"/>
    <s v="ROBERTO ALEJANDRO "/>
    <s v="COBXDIF"/>
    <x v="0"/>
    <d v="2017-02-01T00:00:00"/>
    <n v="28170"/>
    <n v="513613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3-01T00:00:00"/>
    <n v="28256"/>
    <n v="512061"/>
    <m/>
    <m/>
    <m/>
    <m/>
    <m/>
    <m/>
    <m/>
    <m/>
    <m/>
    <m/>
    <m/>
    <m/>
    <m/>
  </r>
  <r>
    <x v="5"/>
    <x v="5"/>
    <s v="8725329-5"/>
    <s v="ROBERTO ALEJANDRO "/>
    <s v="COBXDIF"/>
    <x v="0"/>
    <d v="2017-03-01T00:00:00"/>
    <n v="22447"/>
    <n v="401305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4-01T00:00:00"/>
    <n v="28351"/>
    <n v="503956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5-01T00:00:00"/>
    <n v="28426"/>
    <n v="494530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6-01T00:00:00"/>
    <n v="28463"/>
    <n v="486197"/>
    <m/>
    <m/>
    <m/>
    <m/>
    <m/>
    <m/>
    <m/>
    <m/>
    <m/>
    <m/>
    <m/>
    <m/>
    <m/>
  </r>
  <r>
    <x v="5"/>
    <x v="5"/>
    <s v="ND"/>
    <s v="ND"/>
    <s v="ND"/>
    <x v="4"/>
    <s v="ND"/>
    <m/>
    <m/>
    <m/>
    <m/>
    <m/>
    <m/>
    <m/>
    <m/>
    <m/>
    <m/>
    <m/>
    <m/>
    <m/>
    <m/>
    <m/>
  </r>
  <r>
    <x v="5"/>
    <x v="5"/>
    <s v="9812849-2"/>
    <s v="CAMPOS CHAVARRIGA JOSE REMIGINIO"/>
    <s v="DNPA"/>
    <x v="5"/>
    <d v="2025-08-01T00:00:00"/>
    <n v="101694"/>
    <n v="107709"/>
    <n v="21541.8"/>
    <m/>
    <m/>
    <m/>
    <m/>
    <m/>
    <m/>
    <m/>
    <m/>
    <m/>
    <m/>
    <s v="Enviar a Gestionar"/>
    <m/>
  </r>
  <r>
    <x v="5"/>
    <x v="5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7"/>
    <s v="ND"/>
    <m/>
    <m/>
    <m/>
    <m/>
    <m/>
    <m/>
    <m/>
    <m/>
    <m/>
    <m/>
    <m/>
    <m/>
    <m/>
    <m/>
    <m/>
  </r>
  <r>
    <x v="6"/>
    <x v="6"/>
    <s v="ND"/>
    <s v="ND"/>
    <s v="ND"/>
    <x v="1"/>
    <s v="ND"/>
    <m/>
    <m/>
    <m/>
    <m/>
    <m/>
    <m/>
    <m/>
    <m/>
    <m/>
    <m/>
    <m/>
    <m/>
    <m/>
    <m/>
    <m/>
  </r>
  <r>
    <x v="6"/>
    <x v="6"/>
    <s v="ND"/>
    <s v="ND"/>
    <s v="ND"/>
    <x v="2"/>
    <s v="ND"/>
    <m/>
    <m/>
    <m/>
    <m/>
    <m/>
    <m/>
    <m/>
    <m/>
    <m/>
    <m/>
    <m/>
    <m/>
    <m/>
    <m/>
    <m/>
  </r>
  <r>
    <x v="6"/>
    <x v="6"/>
    <s v="ND"/>
    <s v="ND"/>
    <s v="ND"/>
    <x v="3"/>
    <s v="ND"/>
    <m/>
    <m/>
    <m/>
    <m/>
    <m/>
    <m/>
    <m/>
    <m/>
    <m/>
    <m/>
    <m/>
    <m/>
    <m/>
    <m/>
    <m/>
  </r>
  <r>
    <x v="6"/>
    <x v="6"/>
    <s v="17528835-K"/>
    <s v="CONSTANZA VALERIA"/>
    <s v="DNPA"/>
    <x v="0"/>
    <d v="2025-10-01T00:00:00"/>
    <n v="15000"/>
    <n v="15827"/>
    <n v="3165.4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1-01T00:00:00"/>
    <n v="15000"/>
    <n v="15725"/>
    <n v="3145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2-01T00:00:00"/>
    <n v="15000"/>
    <n v="15561"/>
    <n v="3112.2"/>
    <m/>
    <m/>
    <m/>
    <m/>
    <m/>
    <m/>
    <m/>
    <m/>
    <m/>
    <m/>
    <s v="Enviar a Gestionar"/>
    <m/>
  </r>
  <r>
    <x v="6"/>
    <x v="6"/>
    <s v="ND"/>
    <s v="ND"/>
    <s v="ND"/>
    <x v="4"/>
    <s v="ND"/>
    <m/>
    <m/>
    <m/>
    <m/>
    <m/>
    <m/>
    <m/>
    <m/>
    <m/>
    <m/>
    <m/>
    <m/>
    <m/>
    <m/>
    <m/>
  </r>
  <r>
    <x v="6"/>
    <x v="6"/>
    <s v="ND"/>
    <s v="ND"/>
    <s v="ND"/>
    <x v="5"/>
    <s v="ND"/>
    <m/>
    <m/>
    <m/>
    <m/>
    <m/>
    <m/>
    <m/>
    <m/>
    <m/>
    <m/>
    <m/>
    <m/>
    <m/>
    <m/>
    <m/>
  </r>
  <r>
    <x v="6"/>
    <x v="6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1"/>
    <s v="ND"/>
    <m/>
    <m/>
    <m/>
    <m/>
    <m/>
    <m/>
    <m/>
    <m/>
    <m/>
    <m/>
    <m/>
    <m/>
    <m/>
    <m/>
    <m/>
  </r>
  <r>
    <x v="7"/>
    <x v="7"/>
    <s v="ND"/>
    <s v="ND"/>
    <s v="ND"/>
    <x v="2"/>
    <s v="ND"/>
    <m/>
    <m/>
    <m/>
    <m/>
    <m/>
    <m/>
    <m/>
    <m/>
    <m/>
    <m/>
    <m/>
    <m/>
    <m/>
    <m/>
    <m/>
  </r>
  <r>
    <x v="7"/>
    <x v="7"/>
    <s v="ND"/>
    <s v="ND"/>
    <s v="ND"/>
    <x v="3"/>
    <s v="ND"/>
    <m/>
    <m/>
    <m/>
    <m/>
    <m/>
    <m/>
    <m/>
    <m/>
    <m/>
    <m/>
    <m/>
    <m/>
    <m/>
    <m/>
    <m/>
  </r>
  <r>
    <x v="7"/>
    <x v="7"/>
    <s v="ND"/>
    <s v="ND"/>
    <s v="ND"/>
    <x v="0"/>
    <s v="ND"/>
    <m/>
    <m/>
    <m/>
    <m/>
    <m/>
    <m/>
    <m/>
    <m/>
    <m/>
    <m/>
    <m/>
    <m/>
    <m/>
    <m/>
    <m/>
  </r>
  <r>
    <x v="7"/>
    <x v="7"/>
    <s v="ND"/>
    <s v="ND"/>
    <s v="ND"/>
    <x v="8"/>
    <s v="ND"/>
    <m/>
    <m/>
    <m/>
    <m/>
    <m/>
    <m/>
    <m/>
    <m/>
    <m/>
    <m/>
    <m/>
    <m/>
    <m/>
    <m/>
    <m/>
  </r>
  <r>
    <x v="7"/>
    <x v="7"/>
    <s v="11129346-5"/>
    <s v="URIBE CHANDIA LEMUEL LAZARO"/>
    <s v="DNPA"/>
    <x v="5"/>
    <d v="2025-08-01T00:00:00"/>
    <n v="138359"/>
    <n v="145806"/>
    <n v="29161.2"/>
    <m/>
    <m/>
    <m/>
    <m/>
    <m/>
    <m/>
    <m/>
    <m/>
    <m/>
    <m/>
    <s v="Enviar a Gestionar"/>
    <m/>
  </r>
  <r>
    <x v="7"/>
    <x v="7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7"/>
    <s v="ND"/>
    <m/>
    <m/>
    <m/>
    <m/>
    <m/>
    <m/>
    <m/>
    <m/>
    <m/>
    <m/>
    <m/>
    <m/>
    <m/>
    <m/>
    <m/>
  </r>
  <r>
    <x v="8"/>
    <x v="8"/>
    <s v="ND"/>
    <s v="ND"/>
    <s v="ND"/>
    <x v="1"/>
    <s v="ND"/>
    <m/>
    <m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1-01T00:00:00"/>
    <n v="19373"/>
    <n v="293429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2-01T00:00:00"/>
    <n v="22928"/>
    <n v="340352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1-01T00:00:00"/>
    <n v="19405"/>
    <n v="281727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2-01T00:00:00"/>
    <n v="19405"/>
    <n v="276569"/>
    <m/>
    <m/>
    <m/>
    <m/>
    <m/>
    <m/>
    <m/>
    <m/>
    <m/>
    <m/>
    <m/>
    <m/>
    <m/>
  </r>
  <r>
    <x v="8"/>
    <x v="8"/>
    <s v="ND"/>
    <s v="ND"/>
    <s v="ND"/>
    <x v="3"/>
    <s v="ND"/>
    <m/>
    <m/>
    <m/>
    <m/>
    <m/>
    <m/>
    <m/>
    <m/>
    <m/>
    <m/>
    <m/>
    <m/>
    <m/>
    <m/>
    <m/>
  </r>
  <r>
    <x v="8"/>
    <x v="8"/>
    <s v="8725329-5"/>
    <s v="ROBERTO ALEJANDRO "/>
    <s v="COBXDIF"/>
    <x v="0"/>
    <d v="2016-10-01T00:00:00"/>
    <n v="7430"/>
    <n v="145674"/>
    <m/>
    <m/>
    <m/>
    <m/>
    <m/>
    <m/>
    <m/>
    <m/>
    <m/>
    <m/>
    <m/>
    <m/>
    <m/>
  </r>
  <r>
    <x v="8"/>
    <x v="8"/>
    <s v="8725329-5"/>
    <s v="ROBERTO ALEJANDRO "/>
    <s v="COBXDIF"/>
    <x v="0"/>
    <d v="2016-11-01T00:00:00"/>
    <n v="27568"/>
    <n v="530271"/>
    <m/>
    <m/>
    <m/>
    <m/>
    <m/>
    <m/>
    <m/>
    <m/>
    <m/>
    <m/>
    <m/>
    <m/>
    <m/>
  </r>
  <r>
    <x v="8"/>
    <x v="8"/>
    <s v="8725329-5"/>
    <s v="ROBERTO ALEJANDRO "/>
    <s v="COBXDIF"/>
    <x v="0"/>
    <d v="2016-12-01T00:00:00"/>
    <n v="27602"/>
    <n v="521929"/>
    <m/>
    <m/>
    <m/>
    <m/>
    <m/>
    <m/>
    <m/>
    <m/>
    <m/>
    <m/>
    <m/>
    <m/>
    <m/>
  </r>
  <r>
    <x v="8"/>
    <x v="8"/>
    <s v="8725329-5"/>
    <s v="ROBERTO ALEJANDRO "/>
    <s v="COBXDIF"/>
    <x v="0"/>
    <d v="2017-01-01T00:00:00"/>
    <n v="21448"/>
    <n v="397917"/>
    <m/>
    <m/>
    <m/>
    <m/>
    <m/>
    <m/>
    <m/>
    <m/>
    <m/>
    <m/>
    <m/>
    <m/>
    <m/>
  </r>
  <r>
    <x v="8"/>
    <x v="8"/>
    <s v="10506837-9"/>
    <s v="SERGIO JOSE GARCIA URBIN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3963010-6"/>
    <s v="RODRIGO ANDRES MARIN MARIN "/>
    <s v="COBXDIF"/>
    <x v="0"/>
    <d v="2021-01-01T00:00:00"/>
    <n v="1411"/>
    <n v="4224"/>
    <m/>
    <m/>
    <m/>
    <m/>
    <m/>
    <m/>
    <m/>
    <m/>
    <m/>
    <m/>
    <m/>
    <m/>
    <m/>
  </r>
  <r>
    <x v="8"/>
    <x v="8"/>
    <s v="14201299-5"/>
    <s v="FABIAN ALONSO REYES SAAVEDR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0015538-9"/>
    <s v="TEOVALDO GERMAN POBLETE"/>
    <s v="COBXDIF"/>
    <x v="0"/>
    <d v="2021-01-01T00:00:00"/>
    <n v="1536"/>
    <n v="4224"/>
    <m/>
    <m/>
    <m/>
    <m/>
    <m/>
    <m/>
    <m/>
    <m/>
    <m/>
    <m/>
    <m/>
    <m/>
    <m/>
  </r>
  <r>
    <x v="8"/>
    <x v="8"/>
    <s v="10227874-7"/>
    <s v="CARLOS MAURICIO CIFUENTES NAUTO "/>
    <s v="COBXDIF"/>
    <x v="0"/>
    <d v="2021-01-01T00:00:00"/>
    <n v="169"/>
    <n v="4224"/>
    <m/>
    <m/>
    <m/>
    <m/>
    <m/>
    <m/>
    <m/>
    <m/>
    <m/>
    <m/>
    <m/>
    <m/>
    <m/>
  </r>
  <r>
    <x v="8"/>
    <x v="8"/>
    <s v="12194539-8"/>
    <s v="MARISOL YOLANDA CORDOVA ESPANA"/>
    <s v="COBXDIF"/>
    <x v="0"/>
    <d v="2021-01-01T00:00:00"/>
    <n v="678"/>
    <n v="4224"/>
    <m/>
    <m/>
    <m/>
    <m/>
    <m/>
    <m/>
    <m/>
    <m/>
    <m/>
    <m/>
    <m/>
    <m/>
    <m/>
  </r>
  <r>
    <x v="8"/>
    <x v="8"/>
    <s v="14299061-K"/>
    <s v="CRISTIAN HONORINDO "/>
    <s v="COBXDIF"/>
    <x v="0"/>
    <d v="2021-01-01T00:00:00"/>
    <n v="264"/>
    <n v="4224"/>
    <m/>
    <m/>
    <m/>
    <m/>
    <m/>
    <m/>
    <m/>
    <m/>
    <m/>
    <m/>
    <m/>
    <m/>
    <m/>
  </r>
  <r>
    <x v="8"/>
    <x v="8"/>
    <s v="14479093-6"/>
    <s v="CRISTINA ISABEL SEGUEL PINO "/>
    <s v="COBXDIF"/>
    <x v="0"/>
    <d v="2021-01-01T00:00:00"/>
    <n v="336"/>
    <n v="4224"/>
    <m/>
    <m/>
    <m/>
    <m/>
    <m/>
    <m/>
    <m/>
    <m/>
    <m/>
    <m/>
    <m/>
    <m/>
    <m/>
  </r>
  <r>
    <x v="8"/>
    <x v="8"/>
    <s v="17972826-5"/>
    <s v="BORIS NICOLAS SEPULVEDA FLORES "/>
    <s v="COBXDIF"/>
    <x v="0"/>
    <d v="2021-01-01T00:00:00"/>
    <n v="210"/>
    <n v="4224"/>
    <m/>
    <m/>
    <m/>
    <m/>
    <m/>
    <m/>
    <m/>
    <m/>
    <m/>
    <m/>
    <m/>
    <m/>
    <m/>
  </r>
  <r>
    <x v="8"/>
    <x v="8"/>
    <s v="16385968-8"/>
    <s v="JONATHAN ESTEBAN VARGAS"/>
    <s v="COBXDIF"/>
    <x v="0"/>
    <d v="2021-01-01T00:00:00"/>
    <n v="1265"/>
    <n v="4224"/>
    <m/>
    <m/>
    <m/>
    <m/>
    <m/>
    <m/>
    <m/>
    <m/>
    <m/>
    <m/>
    <m/>
    <m/>
    <m/>
  </r>
  <r>
    <x v="8"/>
    <x v="8"/>
    <s v="18133293-K"/>
    <s v="DAVID EMANUEL VERA ANCALI "/>
    <s v="COBXDIF"/>
    <x v="0"/>
    <d v="2021-01-01T00:00:00"/>
    <n v="126"/>
    <n v="4224"/>
    <m/>
    <m/>
    <m/>
    <m/>
    <m/>
    <m/>
    <m/>
    <m/>
    <m/>
    <m/>
    <m/>
    <m/>
    <m/>
  </r>
  <r>
    <x v="8"/>
    <x v="8"/>
    <s v="11811628-3"/>
    <s v="MISAEL VIRGINIO ANTILLANCA"/>
    <s v="COBXDIF"/>
    <x v="0"/>
    <d v="2021-01-01T00:00:00"/>
    <n v="615"/>
    <n v="4224"/>
    <m/>
    <m/>
    <m/>
    <m/>
    <m/>
    <m/>
    <m/>
    <m/>
    <m/>
    <m/>
    <m/>
    <m/>
    <m/>
  </r>
  <r>
    <x v="8"/>
    <x v="8"/>
    <s v="13100917-8"/>
    <s v="CARLA ALEJANDRA CONTRERAS CONTRERAS"/>
    <s v="PLANILLAS COMPLEMENTARIAS"/>
    <x v="8"/>
    <d v="2016-11-01T00:00:00"/>
    <n v="48946"/>
    <n v="936424"/>
    <m/>
    <m/>
    <m/>
    <m/>
    <m/>
    <m/>
    <m/>
    <m/>
    <m/>
    <m/>
    <m/>
    <m/>
    <m/>
  </r>
  <r>
    <x v="8"/>
    <x v="8"/>
    <s v="18436508-1"/>
    <s v="ALEJANDRO ANSELMO MILLAQUEO PAINEMAN"/>
    <s v="PLANILLAS COMPLEMENTARIAS"/>
    <x v="8"/>
    <d v="2016-11-01T00:00:00"/>
    <n v="431"/>
    <n v="8268"/>
    <m/>
    <m/>
    <m/>
    <m/>
    <m/>
    <m/>
    <m/>
    <m/>
    <m/>
    <m/>
    <m/>
    <m/>
    <m/>
  </r>
  <r>
    <x v="8"/>
    <x v="8"/>
    <s v="19072137-K"/>
    <s v="ACUNA SILVA DANIEL PATRICIO "/>
    <s v="DNPA"/>
    <x v="5"/>
    <d v="2017-08-01T00:00:00"/>
    <n v="10000"/>
    <n v="157517"/>
    <n v="31503.4"/>
    <m/>
    <m/>
    <m/>
    <m/>
    <m/>
    <m/>
    <m/>
    <m/>
    <m/>
    <m/>
    <s v="Enviar a Gestionar"/>
    <m/>
  </r>
  <r>
    <x v="8"/>
    <x v="8"/>
    <s v="19366252-8"/>
    <s v="VARGAS POVEDA VICTOR MANUEL "/>
    <s v="PLANILLAS COMPLEMENTARIAS"/>
    <x v="5"/>
    <d v="2018-04-01T00:00:00"/>
    <n v="6578"/>
    <n v="88310"/>
    <m/>
    <m/>
    <m/>
    <m/>
    <m/>
    <m/>
    <m/>
    <m/>
    <m/>
    <m/>
    <m/>
    <m/>
    <m/>
  </r>
  <r>
    <x v="8"/>
    <x v="8"/>
    <s v="17592680-1"/>
    <s v="ARRA FERNANDEZ GUSTAVO BERNARDO "/>
    <s v="DNPA"/>
    <x v="6"/>
    <d v="2024-12-01T00:00:00"/>
    <n v="10000"/>
    <n v="14080"/>
    <n v="2816"/>
    <m/>
    <m/>
    <m/>
    <m/>
    <m/>
    <m/>
    <m/>
    <m/>
    <m/>
    <m/>
    <s v="Enviar a Gestionar"/>
    <m/>
  </r>
  <r>
    <x v="8"/>
    <x v="8"/>
    <s v="9760921-7"/>
    <s v="ULLOA CONCHA MITZA LORENA"/>
    <s v="DNPA"/>
    <x v="6"/>
    <d v="2024-12-01T00:00:00"/>
    <n v="50000"/>
    <n v="71115"/>
    <n v="14223"/>
    <m/>
    <m/>
    <m/>
    <m/>
    <m/>
    <m/>
    <m/>
    <m/>
    <m/>
    <m/>
    <s v="Enviar a Gestionar"/>
    <m/>
  </r>
  <r>
    <x v="8"/>
    <x v="8"/>
    <s v="ND"/>
    <s v="ND"/>
    <s v="ND"/>
    <x v="7"/>
    <s v="ND"/>
    <m/>
    <m/>
    <m/>
    <m/>
    <m/>
    <m/>
    <m/>
    <m/>
    <m/>
    <m/>
    <m/>
    <m/>
    <m/>
    <m/>
    <m/>
  </r>
  <r>
    <x v="9"/>
    <x v="9"/>
    <s v="ND"/>
    <s v="ND"/>
    <s v="ND"/>
    <x v="1"/>
    <s v="ND"/>
    <m/>
    <m/>
    <m/>
    <m/>
    <m/>
    <m/>
    <m/>
    <m/>
    <m/>
    <m/>
    <m/>
    <m/>
    <m/>
    <m/>
    <m/>
  </r>
  <r>
    <x v="9"/>
    <x v="9"/>
    <s v="ND"/>
    <s v="ND"/>
    <s v="ND"/>
    <x v="2"/>
    <s v="ND"/>
    <m/>
    <m/>
    <m/>
    <m/>
    <m/>
    <m/>
    <m/>
    <m/>
    <m/>
    <m/>
    <m/>
    <m/>
    <m/>
    <m/>
    <m/>
  </r>
  <r>
    <x v="9"/>
    <x v="9"/>
    <s v="ND"/>
    <s v="ND"/>
    <s v="ND"/>
    <x v="3"/>
    <s v="ND"/>
    <m/>
    <m/>
    <m/>
    <m/>
    <m/>
    <m/>
    <m/>
    <m/>
    <m/>
    <m/>
    <m/>
    <m/>
    <m/>
    <m/>
    <m/>
  </r>
  <r>
    <x v="9"/>
    <x v="9"/>
    <s v="ND"/>
    <s v="ND"/>
    <s v="ND"/>
    <x v="0"/>
    <s v="ND"/>
    <m/>
    <m/>
    <m/>
    <m/>
    <m/>
    <m/>
    <m/>
    <m/>
    <m/>
    <m/>
    <m/>
    <m/>
    <m/>
    <m/>
    <m/>
  </r>
  <r>
    <x v="9"/>
    <x v="9"/>
    <s v="ND"/>
    <s v="ND"/>
    <s v="ND"/>
    <x v="8"/>
    <s v="ND"/>
    <m/>
    <m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3-01T00:00:00"/>
    <n v="6485"/>
    <n v="8940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4-01T00:00:00"/>
    <n v="6373"/>
    <n v="86123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5-01T00:00:00"/>
    <n v="6795"/>
    <n v="8992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6-01T00:00:00"/>
    <n v="6795"/>
    <n v="88331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7-01T00:00:00"/>
    <n v="6570"/>
    <n v="83767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8-01T00:00:00"/>
    <n v="6487"/>
    <n v="81165"/>
    <m/>
    <m/>
    <m/>
    <m/>
    <m/>
    <m/>
    <m/>
    <m/>
    <m/>
    <m/>
    <m/>
    <m/>
    <m/>
  </r>
  <r>
    <x v="9"/>
    <x v="9"/>
    <s v="ND"/>
    <s v="ND"/>
    <s v="ND"/>
    <x v="6"/>
    <s v="ND"/>
    <m/>
    <m/>
    <m/>
    <m/>
    <m/>
    <m/>
    <m/>
    <m/>
    <m/>
    <m/>
    <m/>
    <m/>
    <m/>
    <m/>
    <m/>
  </r>
  <r>
    <x v="9"/>
    <x v="9"/>
    <s v="ND"/>
    <s v="ND"/>
    <s v="ND"/>
    <x v="7"/>
    <s v="ND"/>
    <m/>
    <m/>
    <m/>
    <m/>
    <m/>
    <m/>
    <m/>
    <m/>
    <m/>
    <m/>
    <m/>
    <m/>
    <m/>
    <m/>
    <m/>
  </r>
  <r>
    <x v="10"/>
    <x v="10"/>
    <s v="ND"/>
    <s v="ND"/>
    <s v="ND"/>
    <x v="1"/>
    <s v="ND"/>
    <m/>
    <m/>
    <m/>
    <m/>
    <m/>
    <m/>
    <m/>
    <m/>
    <m/>
    <m/>
    <m/>
    <m/>
    <m/>
    <m/>
    <m/>
  </r>
  <r>
    <x v="10"/>
    <x v="10"/>
    <s v="ND"/>
    <s v="ND"/>
    <s v="ND"/>
    <x v="2"/>
    <s v="ND"/>
    <m/>
    <m/>
    <m/>
    <m/>
    <m/>
    <m/>
    <m/>
    <m/>
    <m/>
    <m/>
    <m/>
    <m/>
    <m/>
    <m/>
    <m/>
  </r>
  <r>
    <x v="10"/>
    <x v="10"/>
    <s v="ND"/>
    <s v="ND"/>
    <s v="ND"/>
    <x v="3"/>
    <s v="ND"/>
    <m/>
    <m/>
    <m/>
    <m/>
    <m/>
    <m/>
    <m/>
    <m/>
    <m/>
    <m/>
    <m/>
    <m/>
    <m/>
    <m/>
    <m/>
  </r>
  <r>
    <x v="10"/>
    <x v="10"/>
    <s v="ND"/>
    <s v="ND"/>
    <s v="ND"/>
    <x v="0"/>
    <s v="ND"/>
    <m/>
    <m/>
    <m/>
    <m/>
    <m/>
    <m/>
    <m/>
    <m/>
    <m/>
    <m/>
    <m/>
    <m/>
    <m/>
    <m/>
    <m/>
  </r>
  <r>
    <x v="10"/>
    <x v="10"/>
    <s v="ND"/>
    <s v="ND"/>
    <s v="ND"/>
    <x v="8"/>
    <s v="ND"/>
    <m/>
    <m/>
    <m/>
    <m/>
    <m/>
    <m/>
    <m/>
    <m/>
    <m/>
    <m/>
    <m/>
    <m/>
    <m/>
    <m/>
    <m/>
  </r>
  <r>
    <x v="10"/>
    <x v="10"/>
    <s v="ND"/>
    <s v="ND"/>
    <s v="ND"/>
    <x v="5"/>
    <s v="ND"/>
    <m/>
    <m/>
    <m/>
    <m/>
    <m/>
    <m/>
    <m/>
    <m/>
    <m/>
    <m/>
    <m/>
    <m/>
    <m/>
    <m/>
    <m/>
  </r>
  <r>
    <x v="10"/>
    <x v="10"/>
    <s v="ND"/>
    <s v="ND"/>
    <s v="ND"/>
    <x v="6"/>
    <s v="ND"/>
    <m/>
    <m/>
    <m/>
    <m/>
    <m/>
    <m/>
    <m/>
    <m/>
    <m/>
    <m/>
    <m/>
    <m/>
    <m/>
    <m/>
    <m/>
  </r>
  <r>
    <x v="11"/>
    <x v="11"/>
    <s v="ND"/>
    <s v="ND"/>
    <s v="ND"/>
    <x v="1"/>
    <s v="ND"/>
    <m/>
    <m/>
    <m/>
    <m/>
    <m/>
    <m/>
    <m/>
    <m/>
    <m/>
    <m/>
    <m/>
    <m/>
    <m/>
    <m/>
    <m/>
  </r>
  <r>
    <x v="11"/>
    <x v="11"/>
    <s v="ND"/>
    <s v="ND"/>
    <s v="ND"/>
    <x v="3"/>
    <s v="ND"/>
    <m/>
    <m/>
    <m/>
    <m/>
    <m/>
    <m/>
    <m/>
    <m/>
    <m/>
    <m/>
    <m/>
    <m/>
    <m/>
    <m/>
    <m/>
  </r>
  <r>
    <x v="11"/>
    <x v="11"/>
    <s v="ND"/>
    <s v="ND"/>
    <s v="ND"/>
    <x v="5"/>
    <s v="ND"/>
    <m/>
    <m/>
    <m/>
    <m/>
    <m/>
    <m/>
    <m/>
    <m/>
    <m/>
    <m/>
    <m/>
    <m/>
    <m/>
    <m/>
    <m/>
  </r>
  <r>
    <x v="12"/>
    <x v="12"/>
    <s v="ND"/>
    <s v="ND"/>
    <s v="ND"/>
    <x v="1"/>
    <s v="ND"/>
    <m/>
    <m/>
    <m/>
    <m/>
    <m/>
    <m/>
    <m/>
    <m/>
    <m/>
    <m/>
    <m/>
    <m/>
    <m/>
    <m/>
    <m/>
  </r>
  <r>
    <x v="12"/>
    <x v="12"/>
    <s v="ND"/>
    <s v="ND"/>
    <s v="ND"/>
    <x v="3"/>
    <s v="ND"/>
    <m/>
    <m/>
    <m/>
    <m/>
    <m/>
    <m/>
    <m/>
    <m/>
    <m/>
    <m/>
    <m/>
    <m/>
    <m/>
    <m/>
    <m/>
  </r>
  <r>
    <x v="12"/>
    <x v="12"/>
    <s v="ND"/>
    <s v="ND"/>
    <s v="ND"/>
    <x v="0"/>
    <s v="ND"/>
    <m/>
    <m/>
    <m/>
    <m/>
    <m/>
    <m/>
    <m/>
    <m/>
    <m/>
    <m/>
    <m/>
    <m/>
    <m/>
    <m/>
    <m/>
  </r>
  <r>
    <x v="13"/>
    <x v="13"/>
    <s v="ND"/>
    <s v="ND"/>
    <s v="ND"/>
    <x v="2"/>
    <s v="ND"/>
    <m/>
    <m/>
    <m/>
    <m/>
    <m/>
    <m/>
    <m/>
    <m/>
    <m/>
    <m/>
    <m/>
    <m/>
    <m/>
    <m/>
    <m/>
  </r>
  <r>
    <x v="13"/>
    <x v="13"/>
    <s v="ND"/>
    <s v="ND"/>
    <s v="ND"/>
    <x v="3"/>
    <s v="ND"/>
    <m/>
    <m/>
    <m/>
    <m/>
    <m/>
    <m/>
    <m/>
    <m/>
    <m/>
    <m/>
    <m/>
    <m/>
    <m/>
    <m/>
    <m/>
  </r>
  <r>
    <x v="13"/>
    <x v="13"/>
    <s v="10385944-1"/>
    <s v="JANNETTE CARMEN BRITO "/>
    <s v="DNPA"/>
    <x v="0"/>
    <d v="2025-12-01T00:00:00"/>
    <n v="20000"/>
    <n v="20748"/>
    <n v="4149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1-01T00:00:00"/>
    <n v="20000"/>
    <n v="20967"/>
    <n v="4193.400000000001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0-01T00:00:00"/>
    <n v="30000"/>
    <n v="31674"/>
    <n v="6334.8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9-01T00:00:00"/>
    <n v="30000"/>
    <n v="21403"/>
    <n v="4280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8-01T00:00:00"/>
    <n v="30000"/>
    <n v="21923"/>
    <n v="4384.6"/>
    <m/>
    <m/>
    <m/>
    <m/>
    <m/>
    <m/>
    <m/>
    <m/>
    <m/>
    <m/>
    <s v="Enviar a Gestionar"/>
    <m/>
  </r>
  <r>
    <x v="13"/>
    <x v="13"/>
    <s v="6455487-5"/>
    <s v="ORLANDO ISMAEL MEDINA CASTRO "/>
    <s v="COBXDIF"/>
    <x v="0"/>
    <d v="2009-11-01T00:00:00"/>
    <n v="5537"/>
    <n v="441059"/>
    <m/>
    <m/>
    <m/>
    <m/>
    <m/>
    <m/>
    <m/>
    <m/>
    <m/>
    <m/>
    <m/>
    <m/>
    <m/>
  </r>
  <r>
    <x v="13"/>
    <x v="13"/>
    <s v="18711684-8"/>
    <s v="MOSQUEIRA RUIZ GERARDO ANTONIO "/>
    <s v="PLANILLAS COMPLEMENTARIAS"/>
    <x v="8"/>
    <d v="2014-01-01T00:00:00"/>
    <n v="28276"/>
    <n v="969264"/>
    <m/>
    <m/>
    <m/>
    <m/>
    <m/>
    <m/>
    <m/>
    <m/>
    <m/>
    <m/>
    <m/>
    <m/>
    <m/>
  </r>
  <r>
    <x v="13"/>
    <x v="13"/>
    <s v="13397930-1"/>
    <s v="CISTERNAS LEAL HECTOR PATRICIO "/>
    <s v="PLANILLAS COMPLEMENTARIAS"/>
    <x v="5"/>
    <d v="2011-05-01T00:00:00"/>
    <n v="6709"/>
    <n v="398828"/>
    <m/>
    <m/>
    <m/>
    <m/>
    <m/>
    <m/>
    <m/>
    <m/>
    <m/>
    <m/>
    <m/>
    <m/>
    <m/>
  </r>
  <r>
    <x v="13"/>
    <x v="13"/>
    <s v="17532361-9"/>
    <s v="AGUILAR AGUILA LEANDRO HATMAN"/>
    <s v="PLANILLAS COMPLEMENTARIAS"/>
    <x v="5"/>
    <d v="2012-07-01T00:00:00"/>
    <n v="3474"/>
    <n v="168733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09-01T00:00:00"/>
    <n v="5098"/>
    <n v="188209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10-01T00:00:00"/>
    <n v="4990"/>
    <n v="180714"/>
    <m/>
    <m/>
    <m/>
    <m/>
    <m/>
    <m/>
    <m/>
    <m/>
    <m/>
    <m/>
    <m/>
    <m/>
    <m/>
  </r>
  <r>
    <x v="13"/>
    <x v="13"/>
    <s v="262235992-1"/>
    <s v="SAINT-FLEUR EXAU"/>
    <s v="DNPA"/>
    <x v="5"/>
    <d v="2024-09-01T00:00:00"/>
    <n v="179851"/>
    <n v="288916"/>
    <n v="57783.2"/>
    <m/>
    <m/>
    <m/>
    <m/>
    <m/>
    <m/>
    <m/>
    <m/>
    <m/>
    <m/>
    <s v="Enviar a Gestionar"/>
    <m/>
  </r>
  <r>
    <x v="13"/>
    <x v="13"/>
    <s v="26633473-7"/>
    <s v="SAINTE FLEUR FRANTZSO"/>
    <s v="DNPA"/>
    <x v="5"/>
    <d v="2024-09-01T00:00:00"/>
    <n v="106367"/>
    <n v="172271"/>
    <n v="34454.2"/>
    <m/>
    <m/>
    <m/>
    <m/>
    <m/>
    <m/>
    <m/>
    <m/>
    <m/>
    <m/>
    <s v="Enviar a Gestionar"/>
    <m/>
  </r>
  <r>
    <x v="13"/>
    <x v="13"/>
    <s v="26235992-1"/>
    <s v="SAINT-FLEUR EXAU"/>
    <s v="PLANILLAS COMPLEMENTARIAS"/>
    <x v="5"/>
    <d v="2024-11-01T00:00:00"/>
    <n v="194445"/>
    <n v="289697"/>
    <m/>
    <m/>
    <m/>
    <m/>
    <m/>
    <m/>
    <m/>
    <m/>
    <m/>
    <m/>
    <m/>
    <m/>
    <m/>
  </r>
  <r>
    <x v="13"/>
    <x v="13"/>
    <s v="15227029-1"/>
    <s v="MORAGA LUNA VICTOR ANDRES"/>
    <s v="DNPA"/>
    <x v="6"/>
    <d v="2025-04-01T00:00:00"/>
    <n v="75000"/>
    <n v="93496"/>
    <n v="18699.2"/>
    <m/>
    <m/>
    <m/>
    <m/>
    <m/>
    <m/>
    <m/>
    <m/>
    <m/>
    <m/>
    <s v="Enviar a Gestionar"/>
    <m/>
  </r>
  <r>
    <x v="13"/>
    <x v="13"/>
    <s v="15227029-1"/>
    <s v="MORAGA LUNA VICTOR ANDRES"/>
    <s v="DNPA"/>
    <x v="6"/>
    <d v="2025-05-01T00:00:00"/>
    <n v="75000"/>
    <n v="88857"/>
    <n v="17771.4"/>
    <m/>
    <m/>
    <m/>
    <m/>
    <m/>
    <m/>
    <m/>
    <m/>
    <m/>
    <m/>
    <s v="Enviar a Gestionar"/>
    <m/>
  </r>
  <r>
    <x v="13"/>
    <x v="13"/>
    <s v="ND"/>
    <s v="ND"/>
    <s v="ND"/>
    <x v="7"/>
    <s v="ND"/>
    <m/>
    <m/>
    <m/>
    <m/>
    <m/>
    <m/>
    <m/>
    <m/>
    <m/>
    <m/>
    <m/>
    <m/>
    <m/>
    <m/>
    <m/>
  </r>
  <r>
    <x v="4"/>
    <x v="4"/>
    <s v="12023729-2"/>
    <s v="JAIME FELIPE ZINIGA DE"/>
    <s v="COBXDIF"/>
    <x v="0"/>
    <d v="2017-03-01T00:00:00"/>
    <n v="28256"/>
    <n v="506861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2023729-2"/>
    <s v="JAIME FELIPE ZINIGA DE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2023729-2"/>
    <s v="JAIME FELIPE ZINIGA DE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2023729-2"/>
    <s v="JAIME FELIPE ZINIGA DE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ND"/>
    <s v="ND"/>
    <s v="ND"/>
    <x v="7"/>
    <s v="ND"/>
    <m/>
    <m/>
    <m/>
    <m/>
    <m/>
    <m/>
    <m/>
    <m/>
    <m/>
    <m/>
    <m/>
    <m/>
    <m/>
    <m/>
    <m/>
  </r>
  <r>
    <x v="14"/>
    <x v="14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2"/>
    <s v="ND"/>
    <m/>
    <m/>
    <m/>
    <m/>
    <m/>
    <m/>
    <m/>
    <m/>
    <m/>
    <m/>
    <m/>
    <m/>
    <m/>
    <m/>
    <m/>
  </r>
  <r>
    <x v="15"/>
    <x v="15"/>
    <s v="ND"/>
    <s v="ND"/>
    <s v="ND"/>
    <x v="3"/>
    <s v="ND"/>
    <m/>
    <m/>
    <m/>
    <m/>
    <m/>
    <m/>
    <m/>
    <m/>
    <m/>
    <m/>
    <m/>
    <m/>
    <m/>
    <m/>
    <m/>
  </r>
  <r>
    <x v="15"/>
    <x v="15"/>
    <s v="ND"/>
    <s v="ND"/>
    <s v="ND"/>
    <x v="0"/>
    <s v="ND"/>
    <m/>
    <m/>
    <m/>
    <m/>
    <m/>
    <m/>
    <m/>
    <m/>
    <m/>
    <m/>
    <m/>
    <m/>
    <m/>
    <m/>
    <m/>
  </r>
  <r>
    <x v="15"/>
    <x v="15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6"/>
    <s v="ND"/>
    <m/>
    <m/>
    <m/>
    <m/>
    <m/>
    <m/>
    <m/>
    <m/>
    <m/>
    <m/>
    <m/>
    <m/>
    <m/>
    <m/>
    <m/>
  </r>
  <r>
    <x v="15"/>
    <x v="15"/>
    <s v="ND"/>
    <s v="ND"/>
    <s v="ND"/>
    <x v="7"/>
    <s v="ND"/>
    <m/>
    <m/>
    <m/>
    <m/>
    <m/>
    <m/>
    <m/>
    <m/>
    <m/>
    <m/>
    <m/>
    <m/>
    <m/>
    <m/>
    <m/>
  </r>
  <r>
    <x v="13"/>
    <x v="13"/>
    <m/>
    <m/>
    <m/>
    <x v="1"/>
    <d v="2025-12-01T00:00:00"/>
    <n v="886800"/>
    <n v="915884"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count="163">
  <r>
    <x v="0"/>
    <x v="0"/>
    <s v="13579555-0"/>
    <s v="PATRICIO HERNAN GONZALEZ PANES"/>
    <s v="DNPA"/>
    <x v="0"/>
    <d v="2025-11-01T00:00:00"/>
    <n v="30000"/>
    <n v="31449"/>
    <n v="6289.8"/>
    <m/>
    <m/>
    <m/>
    <m/>
    <m/>
    <m/>
    <m/>
    <m/>
    <m/>
    <m/>
    <s v="Enviar a Gestionar"/>
    <m/>
  </r>
  <r>
    <x v="0"/>
    <x v="0"/>
    <s v="13579555-0"/>
    <s v="PATRICIO HERNAN GONZALEZ PANES"/>
    <s v="DNPA"/>
    <x v="0"/>
    <d v="2025-12-01T00:00:00"/>
    <n v="30000"/>
    <n v="31122"/>
    <n v="6224.400000000001"/>
    <m/>
    <m/>
    <m/>
    <m/>
    <m/>
    <m/>
    <m/>
    <m/>
    <m/>
    <m/>
    <s v="Enviar a Gestionar"/>
    <m/>
  </r>
  <r>
    <x v="0"/>
    <x v="0"/>
    <s v="ND"/>
    <s v="ND"/>
    <s v="ND"/>
    <x v="1"/>
    <s v="ND"/>
    <m/>
    <m/>
    <m/>
    <m/>
    <m/>
    <m/>
    <m/>
    <m/>
    <m/>
    <m/>
    <m/>
    <m/>
    <m/>
    <m/>
    <m/>
  </r>
  <r>
    <x v="0"/>
    <x v="0"/>
    <s v="ND"/>
    <s v="ND"/>
    <s v="ND"/>
    <x v="2"/>
    <s v="ND"/>
    <m/>
    <m/>
    <m/>
    <m/>
    <m/>
    <m/>
    <m/>
    <m/>
    <m/>
    <m/>
    <m/>
    <m/>
    <m/>
    <m/>
    <m/>
  </r>
  <r>
    <x v="0"/>
    <x v="0"/>
    <m/>
    <s v="ND"/>
    <s v="ND"/>
    <x v="3"/>
    <s v="ND"/>
    <m/>
    <m/>
    <m/>
    <m/>
    <m/>
    <m/>
    <m/>
    <m/>
    <m/>
    <m/>
    <m/>
    <m/>
    <m/>
    <m/>
    <m/>
  </r>
  <r>
    <x v="0"/>
    <x v="0"/>
    <s v="ND"/>
    <s v="ND"/>
    <s v="ND"/>
    <x v="4"/>
    <s v="ND"/>
    <m/>
    <m/>
    <m/>
    <m/>
    <m/>
    <m/>
    <m/>
    <m/>
    <m/>
    <m/>
    <m/>
    <m/>
    <m/>
    <m/>
    <m/>
  </r>
  <r>
    <x v="0"/>
    <x v="0"/>
    <s v="ND"/>
    <s v="ND"/>
    <s v="ND"/>
    <x v="5"/>
    <s v="ND"/>
    <m/>
    <m/>
    <m/>
    <m/>
    <m/>
    <m/>
    <m/>
    <m/>
    <m/>
    <m/>
    <m/>
    <m/>
    <m/>
    <m/>
    <m/>
  </r>
  <r>
    <x v="0"/>
    <x v="0"/>
    <s v="ND"/>
    <s v="ND"/>
    <s v="ND"/>
    <x v="6"/>
    <s v="ND"/>
    <m/>
    <m/>
    <m/>
    <m/>
    <m/>
    <m/>
    <m/>
    <m/>
    <m/>
    <m/>
    <m/>
    <m/>
    <m/>
    <m/>
    <m/>
  </r>
  <r>
    <x v="0"/>
    <x v="0"/>
    <s v="ND"/>
    <s v="ND"/>
    <s v="ND"/>
    <x v="7"/>
    <s v="ND"/>
    <m/>
    <m/>
    <m/>
    <m/>
    <m/>
    <m/>
    <m/>
    <m/>
    <m/>
    <m/>
    <m/>
    <m/>
    <m/>
    <m/>
    <m/>
  </r>
  <r>
    <x v="1"/>
    <x v="1"/>
    <s v="ND"/>
    <s v="ND"/>
    <s v="ND"/>
    <x v="1"/>
    <s v="ND"/>
    <m/>
    <m/>
    <m/>
    <m/>
    <m/>
    <m/>
    <m/>
    <m/>
    <m/>
    <m/>
    <m/>
    <m/>
    <m/>
    <m/>
    <m/>
  </r>
  <r>
    <x v="1"/>
    <x v="1"/>
    <s v="ND"/>
    <s v="ND"/>
    <s v="ND"/>
    <x v="2"/>
    <s v="ND"/>
    <m/>
    <m/>
    <m/>
    <m/>
    <m/>
    <m/>
    <m/>
    <m/>
    <m/>
    <m/>
    <m/>
    <m/>
    <m/>
    <m/>
    <m/>
  </r>
  <r>
    <x v="1"/>
    <x v="1"/>
    <s v="ND"/>
    <s v="ND"/>
    <s v="ND"/>
    <x v="3"/>
    <s v="ND"/>
    <m/>
    <m/>
    <m/>
    <m/>
    <m/>
    <m/>
    <m/>
    <m/>
    <m/>
    <m/>
    <m/>
    <m/>
    <m/>
    <m/>
    <m/>
  </r>
  <r>
    <x v="1"/>
    <x v="1"/>
    <s v="ND"/>
    <s v="ND"/>
    <s v="ND"/>
    <x v="0"/>
    <s v="ND"/>
    <m/>
    <m/>
    <m/>
    <m/>
    <m/>
    <m/>
    <m/>
    <m/>
    <m/>
    <m/>
    <m/>
    <m/>
    <m/>
    <m/>
    <m/>
  </r>
  <r>
    <x v="1"/>
    <x v="1"/>
    <s v="ND"/>
    <s v="ND"/>
    <s v="ND"/>
    <x v="4"/>
    <s v="ND"/>
    <m/>
    <m/>
    <m/>
    <m/>
    <m/>
    <m/>
    <m/>
    <m/>
    <m/>
    <m/>
    <m/>
    <m/>
    <m/>
    <m/>
    <m/>
  </r>
  <r>
    <x v="1"/>
    <x v="1"/>
    <s v="ND"/>
    <s v="ND"/>
    <s v="ND"/>
    <x v="5"/>
    <s v="ND"/>
    <m/>
    <m/>
    <m/>
    <m/>
    <m/>
    <m/>
    <m/>
    <m/>
    <m/>
    <m/>
    <m/>
    <m/>
    <m/>
    <m/>
    <m/>
  </r>
  <r>
    <x v="1"/>
    <x v="1"/>
    <s v="ND"/>
    <s v="ND"/>
    <s v="ND"/>
    <x v="6"/>
    <s v="ND"/>
    <m/>
    <m/>
    <m/>
    <m/>
    <m/>
    <m/>
    <m/>
    <m/>
    <m/>
    <m/>
    <m/>
    <m/>
    <m/>
    <m/>
    <m/>
  </r>
  <r>
    <x v="1"/>
    <x v="1"/>
    <s v="ND"/>
    <s v="ND"/>
    <s v="ND"/>
    <x v="7"/>
    <s v="ND"/>
    <m/>
    <m/>
    <m/>
    <m/>
    <m/>
    <m/>
    <m/>
    <m/>
    <m/>
    <m/>
    <m/>
    <m/>
    <m/>
    <m/>
    <m/>
  </r>
  <r>
    <x v="2"/>
    <x v="2"/>
    <s v="ND"/>
    <s v="ND"/>
    <s v="ND"/>
    <x v="1"/>
    <s v="ND"/>
    <m/>
    <m/>
    <m/>
    <m/>
    <m/>
    <m/>
    <m/>
    <m/>
    <m/>
    <m/>
    <m/>
    <m/>
    <m/>
    <m/>
    <m/>
  </r>
  <r>
    <x v="2"/>
    <x v="2"/>
    <s v="ND"/>
    <s v="ND"/>
    <s v="ND"/>
    <x v="2"/>
    <s v="ND"/>
    <m/>
    <m/>
    <m/>
    <m/>
    <m/>
    <m/>
    <m/>
    <m/>
    <m/>
    <m/>
    <m/>
    <m/>
    <m/>
    <m/>
    <m/>
  </r>
  <r>
    <x v="2"/>
    <x v="2"/>
    <s v="ND"/>
    <s v="ND"/>
    <s v="ND"/>
    <x v="3"/>
    <s v="ND"/>
    <m/>
    <m/>
    <m/>
    <m/>
    <m/>
    <m/>
    <m/>
    <m/>
    <m/>
    <m/>
    <m/>
    <m/>
    <m/>
    <m/>
    <m/>
  </r>
  <r>
    <x v="2"/>
    <x v="2"/>
    <s v="ND"/>
    <s v="ND"/>
    <s v="ND"/>
    <x v="0"/>
    <s v="ND"/>
    <m/>
    <m/>
    <m/>
    <m/>
    <m/>
    <m/>
    <m/>
    <m/>
    <m/>
    <m/>
    <m/>
    <m/>
    <m/>
    <m/>
    <m/>
  </r>
  <r>
    <x v="2"/>
    <x v="2"/>
    <s v="ND"/>
    <s v="ND"/>
    <s v="ND"/>
    <x v="4"/>
    <s v="ND"/>
    <m/>
    <m/>
    <m/>
    <m/>
    <m/>
    <m/>
    <m/>
    <m/>
    <m/>
    <m/>
    <m/>
    <m/>
    <m/>
    <m/>
    <m/>
  </r>
  <r>
    <x v="2"/>
    <x v="2"/>
    <s v="ND"/>
    <s v="ND"/>
    <s v="ND"/>
    <x v="5"/>
    <s v="ND"/>
    <m/>
    <m/>
    <m/>
    <m/>
    <m/>
    <m/>
    <m/>
    <m/>
    <m/>
    <m/>
    <m/>
    <m/>
    <m/>
    <m/>
    <m/>
  </r>
  <r>
    <x v="2"/>
    <x v="2"/>
    <s v="ND"/>
    <s v="ND"/>
    <s v="ND"/>
    <x v="6"/>
    <s v="ND"/>
    <m/>
    <m/>
    <m/>
    <m/>
    <m/>
    <m/>
    <m/>
    <m/>
    <m/>
    <m/>
    <m/>
    <m/>
    <m/>
    <m/>
    <m/>
  </r>
  <r>
    <x v="2"/>
    <x v="2"/>
    <s v="ND"/>
    <s v="ND"/>
    <s v="ND"/>
    <x v="7"/>
    <s v="ND"/>
    <m/>
    <m/>
    <m/>
    <m/>
    <m/>
    <m/>
    <m/>
    <m/>
    <m/>
    <m/>
    <m/>
    <m/>
    <m/>
    <m/>
    <m/>
  </r>
  <r>
    <x v="3"/>
    <x v="3"/>
    <s v="ND"/>
    <s v="ND"/>
    <s v="ND"/>
    <x v="1"/>
    <s v="ND"/>
    <m/>
    <m/>
    <m/>
    <m/>
    <m/>
    <m/>
    <m/>
    <m/>
    <m/>
    <m/>
    <m/>
    <m/>
    <m/>
    <m/>
    <m/>
  </r>
  <r>
    <x v="3"/>
    <x v="3"/>
    <s v="ND"/>
    <s v="ND"/>
    <s v="ND"/>
    <x v="3"/>
    <s v="ND"/>
    <m/>
    <m/>
    <m/>
    <m/>
    <m/>
    <m/>
    <m/>
    <m/>
    <m/>
    <m/>
    <m/>
    <m/>
    <m/>
    <m/>
    <m/>
  </r>
  <r>
    <x v="3"/>
    <x v="3"/>
    <s v="ND"/>
    <s v="ND"/>
    <s v="ND"/>
    <x v="0"/>
    <s v="ND"/>
    <m/>
    <m/>
    <m/>
    <m/>
    <m/>
    <m/>
    <m/>
    <m/>
    <m/>
    <m/>
    <m/>
    <m/>
    <m/>
    <m/>
    <m/>
  </r>
  <r>
    <x v="4"/>
    <x v="4"/>
    <s v="ND"/>
    <s v="ND"/>
    <s v="ND"/>
    <x v="1"/>
    <s v="ND"/>
    <m/>
    <m/>
    <m/>
    <m/>
    <m/>
    <m/>
    <m/>
    <m/>
    <m/>
    <m/>
    <m/>
    <m/>
    <m/>
    <m/>
    <m/>
  </r>
  <r>
    <x v="4"/>
    <x v="4"/>
    <s v="ND"/>
    <s v="ND"/>
    <s v="ND"/>
    <x v="2"/>
    <s v="ND"/>
    <m/>
    <m/>
    <m/>
    <m/>
    <m/>
    <m/>
    <m/>
    <m/>
    <m/>
    <m/>
    <m/>
    <m/>
    <m/>
    <m/>
    <m/>
  </r>
  <r>
    <x v="4"/>
    <x v="4"/>
    <s v="ND"/>
    <s v="ND"/>
    <s v="ND"/>
    <x v="3"/>
    <s v="ND"/>
    <m/>
    <m/>
    <m/>
    <m/>
    <m/>
    <m/>
    <m/>
    <m/>
    <m/>
    <m/>
    <m/>
    <m/>
    <m/>
    <m/>
    <m/>
  </r>
  <r>
    <x v="4"/>
    <x v="4"/>
    <s v="ND"/>
    <s v="ND"/>
    <s v="ND"/>
    <x v="4"/>
    <s v="ND"/>
    <m/>
    <m/>
    <m/>
    <m/>
    <m/>
    <m/>
    <m/>
    <m/>
    <m/>
    <m/>
    <m/>
    <m/>
    <m/>
    <m/>
    <m/>
  </r>
  <r>
    <x v="4"/>
    <x v="4"/>
    <s v="ND"/>
    <s v="ND"/>
    <s v="ND"/>
    <x v="5"/>
    <s v="ND"/>
    <m/>
    <m/>
    <m/>
    <m/>
    <m/>
    <m/>
    <m/>
    <m/>
    <m/>
    <m/>
    <m/>
    <m/>
    <m/>
    <m/>
    <m/>
  </r>
  <r>
    <x v="4"/>
    <x v="4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1"/>
    <s v="ND"/>
    <m/>
    <m/>
    <m/>
    <m/>
    <m/>
    <m/>
    <m/>
    <m/>
    <m/>
    <m/>
    <m/>
    <m/>
    <m/>
    <m/>
    <m/>
  </r>
  <r>
    <x v="5"/>
    <x v="5"/>
    <s v="ND"/>
    <s v="ND"/>
    <s v="ND"/>
    <x v="2"/>
    <s v="ND"/>
    <m/>
    <m/>
    <m/>
    <m/>
    <m/>
    <m/>
    <m/>
    <m/>
    <m/>
    <m/>
    <m/>
    <m/>
    <m/>
    <m/>
    <m/>
  </r>
  <r>
    <x v="5"/>
    <x v="5"/>
    <s v="ND"/>
    <s v="ND"/>
    <s v="ND"/>
    <x v="3"/>
    <s v="ND"/>
    <m/>
    <m/>
    <m/>
    <m/>
    <m/>
    <m/>
    <m/>
    <m/>
    <m/>
    <m/>
    <m/>
    <m/>
    <m/>
    <m/>
    <m/>
  </r>
  <r>
    <x v="5"/>
    <x v="5"/>
    <s v="8725329-5"/>
    <s v="ROBERTO ALEJANDRO "/>
    <s v="COBXDIF"/>
    <x v="0"/>
    <d v="2017-01-01T00:00:00"/>
    <n v="10462"/>
    <n v="194067"/>
    <m/>
    <m/>
    <m/>
    <m/>
    <m/>
    <m/>
    <m/>
    <m/>
    <m/>
    <m/>
    <m/>
    <m/>
    <m/>
  </r>
  <r>
    <x v="5"/>
    <x v="5"/>
    <s v="8725329-5"/>
    <s v="ROBERTO ALEJANDRO "/>
    <s v="COBXDIF"/>
    <x v="0"/>
    <d v="2017-02-01T00:00:00"/>
    <n v="28170"/>
    <n v="513613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3-01T00:00:00"/>
    <n v="28256"/>
    <n v="512061"/>
    <m/>
    <m/>
    <m/>
    <m/>
    <m/>
    <m/>
    <m/>
    <m/>
    <m/>
    <m/>
    <m/>
    <m/>
    <m/>
  </r>
  <r>
    <x v="5"/>
    <x v="5"/>
    <s v="8725329-5"/>
    <s v="ROBERTO ALEJANDRO "/>
    <s v="COBXDIF"/>
    <x v="0"/>
    <d v="2017-03-01T00:00:00"/>
    <n v="22447"/>
    <n v="401305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4-01T00:00:00"/>
    <n v="28351"/>
    <n v="503956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5-01T00:00:00"/>
    <n v="28426"/>
    <n v="494530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6-01T00:00:00"/>
    <n v="28463"/>
    <n v="486197"/>
    <m/>
    <m/>
    <m/>
    <m/>
    <m/>
    <m/>
    <m/>
    <m/>
    <m/>
    <m/>
    <m/>
    <m/>
    <m/>
  </r>
  <r>
    <x v="5"/>
    <x v="5"/>
    <s v="ND"/>
    <s v="ND"/>
    <s v="ND"/>
    <x v="4"/>
    <s v="ND"/>
    <m/>
    <m/>
    <m/>
    <m/>
    <m/>
    <m/>
    <m/>
    <m/>
    <m/>
    <m/>
    <m/>
    <m/>
    <m/>
    <m/>
    <m/>
  </r>
  <r>
    <x v="5"/>
    <x v="5"/>
    <s v="9812849-2"/>
    <s v="CAMPOS CHAVARRIGA JOSE REMIGINIO"/>
    <s v="DNPA"/>
    <x v="5"/>
    <d v="2025-08-01T00:00:00"/>
    <n v="101694"/>
    <n v="107709"/>
    <n v="21541.8"/>
    <m/>
    <m/>
    <m/>
    <m/>
    <m/>
    <m/>
    <m/>
    <m/>
    <m/>
    <m/>
    <s v="Enviar a Gestionar"/>
    <m/>
  </r>
  <r>
    <x v="5"/>
    <x v="5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7"/>
    <s v="ND"/>
    <m/>
    <m/>
    <m/>
    <m/>
    <m/>
    <m/>
    <m/>
    <m/>
    <m/>
    <m/>
    <m/>
    <m/>
    <m/>
    <m/>
    <m/>
  </r>
  <r>
    <x v="6"/>
    <x v="6"/>
    <s v="ND"/>
    <s v="ND"/>
    <s v="ND"/>
    <x v="1"/>
    <s v="ND"/>
    <m/>
    <m/>
    <m/>
    <m/>
    <m/>
    <m/>
    <m/>
    <m/>
    <m/>
    <m/>
    <m/>
    <m/>
    <m/>
    <m/>
    <m/>
  </r>
  <r>
    <x v="6"/>
    <x v="6"/>
    <s v="ND"/>
    <s v="ND"/>
    <s v="ND"/>
    <x v="2"/>
    <s v="ND"/>
    <m/>
    <m/>
    <m/>
    <m/>
    <m/>
    <m/>
    <m/>
    <m/>
    <m/>
    <m/>
    <m/>
    <m/>
    <m/>
    <m/>
    <m/>
  </r>
  <r>
    <x v="6"/>
    <x v="6"/>
    <s v="ND"/>
    <s v="ND"/>
    <s v="ND"/>
    <x v="3"/>
    <s v="ND"/>
    <m/>
    <m/>
    <m/>
    <m/>
    <m/>
    <m/>
    <m/>
    <m/>
    <m/>
    <m/>
    <m/>
    <m/>
    <m/>
    <m/>
    <m/>
  </r>
  <r>
    <x v="6"/>
    <x v="6"/>
    <s v="17528835-K"/>
    <s v="CONSTANZA VALERIA"/>
    <s v="DNPA"/>
    <x v="0"/>
    <d v="2025-10-01T00:00:00"/>
    <n v="15000"/>
    <n v="15827"/>
    <n v="3165.4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1-01T00:00:00"/>
    <n v="15000"/>
    <n v="15725"/>
    <n v="3145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2-01T00:00:00"/>
    <n v="15000"/>
    <n v="15561"/>
    <n v="3112.2"/>
    <m/>
    <m/>
    <m/>
    <m/>
    <m/>
    <m/>
    <m/>
    <m/>
    <m/>
    <m/>
    <s v="Enviar a Gestionar"/>
    <m/>
  </r>
  <r>
    <x v="6"/>
    <x v="6"/>
    <s v="ND"/>
    <s v="ND"/>
    <s v="ND"/>
    <x v="4"/>
    <s v="ND"/>
    <m/>
    <m/>
    <m/>
    <m/>
    <m/>
    <m/>
    <m/>
    <m/>
    <m/>
    <m/>
    <m/>
    <m/>
    <m/>
    <m/>
    <m/>
  </r>
  <r>
    <x v="6"/>
    <x v="6"/>
    <s v="ND"/>
    <s v="ND"/>
    <s v="ND"/>
    <x v="5"/>
    <s v="ND"/>
    <m/>
    <m/>
    <m/>
    <m/>
    <m/>
    <m/>
    <m/>
    <m/>
    <m/>
    <m/>
    <m/>
    <m/>
    <m/>
    <m/>
    <m/>
  </r>
  <r>
    <x v="6"/>
    <x v="6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1"/>
    <s v="ND"/>
    <m/>
    <m/>
    <m/>
    <m/>
    <m/>
    <m/>
    <m/>
    <m/>
    <m/>
    <m/>
    <m/>
    <m/>
    <m/>
    <m/>
    <m/>
  </r>
  <r>
    <x v="7"/>
    <x v="7"/>
    <s v="ND"/>
    <s v="ND"/>
    <s v="ND"/>
    <x v="2"/>
    <s v="ND"/>
    <m/>
    <m/>
    <m/>
    <m/>
    <m/>
    <m/>
    <m/>
    <m/>
    <m/>
    <m/>
    <m/>
    <m/>
    <m/>
    <m/>
    <m/>
  </r>
  <r>
    <x v="7"/>
    <x v="7"/>
    <s v="ND"/>
    <s v="ND"/>
    <s v="ND"/>
    <x v="3"/>
    <s v="ND"/>
    <m/>
    <m/>
    <m/>
    <m/>
    <m/>
    <m/>
    <m/>
    <m/>
    <m/>
    <m/>
    <m/>
    <m/>
    <m/>
    <m/>
    <m/>
  </r>
  <r>
    <x v="7"/>
    <x v="7"/>
    <s v="ND"/>
    <s v="ND"/>
    <s v="ND"/>
    <x v="0"/>
    <s v="ND"/>
    <m/>
    <m/>
    <m/>
    <m/>
    <m/>
    <m/>
    <m/>
    <m/>
    <m/>
    <m/>
    <m/>
    <m/>
    <m/>
    <m/>
    <m/>
  </r>
  <r>
    <x v="7"/>
    <x v="7"/>
    <s v="ND"/>
    <s v="ND"/>
    <s v="ND"/>
    <x v="8"/>
    <s v="ND"/>
    <m/>
    <m/>
    <m/>
    <m/>
    <m/>
    <m/>
    <m/>
    <m/>
    <m/>
    <m/>
    <m/>
    <m/>
    <m/>
    <m/>
    <m/>
  </r>
  <r>
    <x v="7"/>
    <x v="7"/>
    <s v="11129346-5"/>
    <s v="URIBE CHANDIA LEMUEL LAZARO"/>
    <s v="DNPA"/>
    <x v="5"/>
    <d v="2025-08-01T00:00:00"/>
    <n v="138359"/>
    <n v="145806"/>
    <n v="29161.2"/>
    <m/>
    <m/>
    <m/>
    <m/>
    <m/>
    <m/>
    <m/>
    <m/>
    <m/>
    <m/>
    <s v="Enviar a Gestionar"/>
    <m/>
  </r>
  <r>
    <x v="7"/>
    <x v="7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7"/>
    <s v="ND"/>
    <m/>
    <m/>
    <m/>
    <m/>
    <m/>
    <m/>
    <m/>
    <m/>
    <m/>
    <m/>
    <m/>
    <m/>
    <m/>
    <m/>
    <m/>
  </r>
  <r>
    <x v="8"/>
    <x v="8"/>
    <s v="ND"/>
    <s v="ND"/>
    <s v="ND"/>
    <x v="1"/>
    <s v="ND"/>
    <m/>
    <m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1-01T00:00:00"/>
    <n v="19373"/>
    <n v="293429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2-01T00:00:00"/>
    <n v="22928"/>
    <n v="340352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1-01T00:00:00"/>
    <n v="19405"/>
    <n v="281727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2-01T00:00:00"/>
    <n v="19405"/>
    <n v="276569"/>
    <m/>
    <m/>
    <m/>
    <m/>
    <m/>
    <m/>
    <m/>
    <m/>
    <m/>
    <m/>
    <m/>
    <m/>
    <m/>
  </r>
  <r>
    <x v="8"/>
    <x v="8"/>
    <s v="ND"/>
    <s v="ND"/>
    <s v="ND"/>
    <x v="3"/>
    <s v="ND"/>
    <m/>
    <m/>
    <m/>
    <m/>
    <m/>
    <m/>
    <m/>
    <m/>
    <m/>
    <m/>
    <m/>
    <m/>
    <m/>
    <m/>
    <m/>
  </r>
  <r>
    <x v="8"/>
    <x v="8"/>
    <s v="8725329-5"/>
    <s v="ROBERTO ALEJANDRO "/>
    <s v="COBXDIF"/>
    <x v="0"/>
    <d v="2016-10-01T00:00:00"/>
    <n v="7430"/>
    <n v="145674"/>
    <m/>
    <m/>
    <m/>
    <m/>
    <m/>
    <m/>
    <m/>
    <m/>
    <m/>
    <m/>
    <m/>
    <m/>
    <m/>
  </r>
  <r>
    <x v="8"/>
    <x v="8"/>
    <s v="8725329-5"/>
    <s v="ROBERTO ALEJANDRO "/>
    <s v="COBXDIF"/>
    <x v="0"/>
    <d v="2016-11-01T00:00:00"/>
    <n v="27568"/>
    <n v="530271"/>
    <m/>
    <m/>
    <m/>
    <m/>
    <m/>
    <m/>
    <m/>
    <m/>
    <m/>
    <m/>
    <m/>
    <m/>
    <m/>
  </r>
  <r>
    <x v="8"/>
    <x v="8"/>
    <s v="8725329-5"/>
    <s v="ROBERTO ALEJANDRO "/>
    <s v="COBXDIF"/>
    <x v="0"/>
    <d v="2016-12-01T00:00:00"/>
    <n v="27602"/>
    <n v="521929"/>
    <m/>
    <m/>
    <m/>
    <m/>
    <m/>
    <m/>
    <m/>
    <m/>
    <m/>
    <m/>
    <m/>
    <m/>
    <m/>
  </r>
  <r>
    <x v="8"/>
    <x v="8"/>
    <s v="8725329-5"/>
    <s v="ROBERTO ALEJANDRO "/>
    <s v="COBXDIF"/>
    <x v="0"/>
    <d v="2017-01-01T00:00:00"/>
    <n v="21448"/>
    <n v="397917"/>
    <m/>
    <m/>
    <m/>
    <m/>
    <m/>
    <m/>
    <m/>
    <m/>
    <m/>
    <m/>
    <m/>
    <m/>
    <m/>
  </r>
  <r>
    <x v="8"/>
    <x v="8"/>
    <s v="10506837-9"/>
    <s v="SERGIO JOSE GARCIA URBIN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3963010-6"/>
    <s v="RODRIGO ANDRES MARIN MARIN "/>
    <s v="COBXDIF"/>
    <x v="0"/>
    <d v="2021-01-01T00:00:00"/>
    <n v="1411"/>
    <n v="4224"/>
    <m/>
    <m/>
    <m/>
    <m/>
    <m/>
    <m/>
    <m/>
    <m/>
    <m/>
    <m/>
    <m/>
    <m/>
    <m/>
  </r>
  <r>
    <x v="8"/>
    <x v="8"/>
    <s v="14201299-5"/>
    <s v="FABIAN ALONSO REYES SAAVEDR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0015538-9"/>
    <s v="TEOVALDO GERMAN POBLETE"/>
    <s v="COBXDIF"/>
    <x v="0"/>
    <d v="2021-01-01T00:00:00"/>
    <n v="1536"/>
    <n v="4224"/>
    <m/>
    <m/>
    <m/>
    <m/>
    <m/>
    <m/>
    <m/>
    <m/>
    <m/>
    <m/>
    <m/>
    <m/>
    <m/>
  </r>
  <r>
    <x v="8"/>
    <x v="8"/>
    <s v="10227874-7"/>
    <s v="CARLOS MAURICIO CIFUENTES NAUTO "/>
    <s v="COBXDIF"/>
    <x v="0"/>
    <d v="2021-01-01T00:00:00"/>
    <n v="169"/>
    <n v="4224"/>
    <m/>
    <m/>
    <m/>
    <m/>
    <m/>
    <m/>
    <m/>
    <m/>
    <m/>
    <m/>
    <m/>
    <m/>
    <m/>
  </r>
  <r>
    <x v="8"/>
    <x v="8"/>
    <s v="12194539-8"/>
    <s v="MARISOL YOLANDA CORDOVA ESPANA"/>
    <s v="COBXDIF"/>
    <x v="0"/>
    <d v="2021-01-01T00:00:00"/>
    <n v="678"/>
    <n v="4224"/>
    <m/>
    <m/>
    <m/>
    <m/>
    <m/>
    <m/>
    <m/>
    <m/>
    <m/>
    <m/>
    <m/>
    <m/>
    <m/>
  </r>
  <r>
    <x v="8"/>
    <x v="8"/>
    <s v="14299061-K"/>
    <s v="CRISTIAN HONORINDO "/>
    <s v="COBXDIF"/>
    <x v="0"/>
    <d v="2021-01-01T00:00:00"/>
    <n v="264"/>
    <n v="4224"/>
    <m/>
    <m/>
    <m/>
    <m/>
    <m/>
    <m/>
    <m/>
    <m/>
    <m/>
    <m/>
    <m/>
    <m/>
    <m/>
  </r>
  <r>
    <x v="8"/>
    <x v="8"/>
    <s v="14479093-6"/>
    <s v="CRISTINA ISABEL SEGUEL PINO "/>
    <s v="COBXDIF"/>
    <x v="0"/>
    <d v="2021-01-01T00:00:00"/>
    <n v="336"/>
    <n v="4224"/>
    <m/>
    <m/>
    <m/>
    <m/>
    <m/>
    <m/>
    <m/>
    <m/>
    <m/>
    <m/>
    <m/>
    <m/>
    <m/>
  </r>
  <r>
    <x v="8"/>
    <x v="8"/>
    <s v="17972826-5"/>
    <s v="BORIS NICOLAS SEPULVEDA FLORES "/>
    <s v="COBXDIF"/>
    <x v="0"/>
    <d v="2021-01-01T00:00:00"/>
    <n v="210"/>
    <n v="4224"/>
    <m/>
    <m/>
    <m/>
    <m/>
    <m/>
    <m/>
    <m/>
    <m/>
    <m/>
    <m/>
    <m/>
    <m/>
    <m/>
  </r>
  <r>
    <x v="8"/>
    <x v="8"/>
    <s v="16385968-8"/>
    <s v="JONATHAN ESTEBAN VARGAS"/>
    <s v="COBXDIF"/>
    <x v="0"/>
    <d v="2021-01-01T00:00:00"/>
    <n v="1265"/>
    <n v="4224"/>
    <m/>
    <m/>
    <m/>
    <m/>
    <m/>
    <m/>
    <m/>
    <m/>
    <m/>
    <m/>
    <m/>
    <m/>
    <m/>
  </r>
  <r>
    <x v="8"/>
    <x v="8"/>
    <s v="18133293-K"/>
    <s v="DAVID EMANUEL VERA ANCALI "/>
    <s v="COBXDIF"/>
    <x v="0"/>
    <d v="2021-01-01T00:00:00"/>
    <n v="126"/>
    <n v="4224"/>
    <m/>
    <m/>
    <m/>
    <m/>
    <m/>
    <m/>
    <m/>
    <m/>
    <m/>
    <m/>
    <m/>
    <m/>
    <m/>
  </r>
  <r>
    <x v="8"/>
    <x v="8"/>
    <s v="11811628-3"/>
    <s v="MISAEL VIRGINIO ANTILLANCA"/>
    <s v="COBXDIF"/>
    <x v="0"/>
    <d v="2021-01-01T00:00:00"/>
    <n v="615"/>
    <n v="4224"/>
    <m/>
    <m/>
    <m/>
    <m/>
    <m/>
    <m/>
    <m/>
    <m/>
    <m/>
    <m/>
    <m/>
    <m/>
    <m/>
  </r>
  <r>
    <x v="8"/>
    <x v="8"/>
    <s v="13100917-8"/>
    <s v="CARLA ALEJANDRA CONTRERAS CONTRERAS"/>
    <s v="PLANILLAS COMPLEMENTARIAS"/>
    <x v="8"/>
    <d v="2016-11-01T00:00:00"/>
    <n v="48946"/>
    <n v="936424"/>
    <m/>
    <m/>
    <m/>
    <m/>
    <m/>
    <m/>
    <m/>
    <m/>
    <m/>
    <m/>
    <m/>
    <m/>
    <m/>
  </r>
  <r>
    <x v="8"/>
    <x v="8"/>
    <s v="18436508-1"/>
    <s v="ALEJANDRO ANSELMO MILLAQUEO PAINEMAN"/>
    <s v="PLANILLAS COMPLEMENTARIAS"/>
    <x v="8"/>
    <d v="2016-11-01T00:00:00"/>
    <n v="431"/>
    <n v="8268"/>
    <m/>
    <m/>
    <m/>
    <m/>
    <m/>
    <m/>
    <m/>
    <m/>
    <m/>
    <m/>
    <m/>
    <m/>
    <m/>
  </r>
  <r>
    <x v="8"/>
    <x v="8"/>
    <s v="19072137-K"/>
    <s v="ACUNA SILVA DANIEL PATRICIO "/>
    <s v="DNPA"/>
    <x v="5"/>
    <d v="2017-08-01T00:00:00"/>
    <n v="10000"/>
    <n v="157517"/>
    <n v="31503.4"/>
    <m/>
    <m/>
    <m/>
    <m/>
    <m/>
    <m/>
    <m/>
    <m/>
    <m/>
    <m/>
    <s v="Enviar a Gestionar"/>
    <m/>
  </r>
  <r>
    <x v="8"/>
    <x v="8"/>
    <s v="19366252-8"/>
    <s v="VARGAS POVEDA VICTOR MANUEL "/>
    <s v="PLANILLAS COMPLEMENTARIAS"/>
    <x v="5"/>
    <d v="2018-04-01T00:00:00"/>
    <n v="6578"/>
    <n v="88310"/>
    <m/>
    <m/>
    <m/>
    <m/>
    <m/>
    <m/>
    <m/>
    <m/>
    <m/>
    <m/>
    <m/>
    <m/>
    <m/>
  </r>
  <r>
    <x v="8"/>
    <x v="8"/>
    <s v="17592680-1"/>
    <s v="ARRA FERNANDEZ GUSTAVO BERNARDO "/>
    <s v="DNPA"/>
    <x v="6"/>
    <d v="2024-12-01T00:00:00"/>
    <n v="10000"/>
    <n v="14080"/>
    <n v="2816"/>
    <m/>
    <m/>
    <m/>
    <m/>
    <m/>
    <m/>
    <m/>
    <m/>
    <m/>
    <m/>
    <s v="Enviar a Gestionar"/>
    <m/>
  </r>
  <r>
    <x v="8"/>
    <x v="8"/>
    <s v="9760921-7"/>
    <s v="ULLOA CONCHA MITZA LORENA"/>
    <s v="DNPA"/>
    <x v="6"/>
    <d v="2024-12-01T00:00:00"/>
    <n v="50000"/>
    <n v="71115"/>
    <n v="14223"/>
    <m/>
    <m/>
    <m/>
    <m/>
    <m/>
    <m/>
    <m/>
    <m/>
    <m/>
    <m/>
    <s v="Enviar a Gestionar"/>
    <m/>
  </r>
  <r>
    <x v="8"/>
    <x v="8"/>
    <s v="ND"/>
    <s v="ND"/>
    <s v="ND"/>
    <x v="7"/>
    <s v="ND"/>
    <m/>
    <m/>
    <m/>
    <m/>
    <m/>
    <m/>
    <m/>
    <m/>
    <m/>
    <m/>
    <m/>
    <m/>
    <m/>
    <m/>
    <m/>
  </r>
  <r>
    <x v="9"/>
    <x v="9"/>
    <s v="ND"/>
    <s v="ND"/>
    <s v="ND"/>
    <x v="1"/>
    <s v="ND"/>
    <m/>
    <m/>
    <m/>
    <m/>
    <m/>
    <m/>
    <m/>
    <m/>
    <m/>
    <m/>
    <m/>
    <m/>
    <m/>
    <m/>
    <m/>
  </r>
  <r>
    <x v="9"/>
    <x v="9"/>
    <s v="ND"/>
    <s v="ND"/>
    <s v="ND"/>
    <x v="2"/>
    <s v="ND"/>
    <m/>
    <m/>
    <m/>
    <m/>
    <m/>
    <m/>
    <m/>
    <m/>
    <m/>
    <m/>
    <m/>
    <m/>
    <m/>
    <m/>
    <m/>
  </r>
  <r>
    <x v="9"/>
    <x v="9"/>
    <s v="ND"/>
    <s v="ND"/>
    <s v="ND"/>
    <x v="3"/>
    <s v="ND"/>
    <m/>
    <m/>
    <m/>
    <m/>
    <m/>
    <m/>
    <m/>
    <m/>
    <m/>
    <m/>
    <m/>
    <m/>
    <m/>
    <m/>
    <m/>
  </r>
  <r>
    <x v="9"/>
    <x v="9"/>
    <s v="ND"/>
    <s v="ND"/>
    <s v="ND"/>
    <x v="0"/>
    <s v="ND"/>
    <m/>
    <m/>
    <m/>
    <m/>
    <m/>
    <m/>
    <m/>
    <m/>
    <m/>
    <m/>
    <m/>
    <m/>
    <m/>
    <m/>
    <m/>
  </r>
  <r>
    <x v="9"/>
    <x v="9"/>
    <s v="ND"/>
    <s v="ND"/>
    <s v="ND"/>
    <x v="8"/>
    <s v="ND"/>
    <m/>
    <m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3-01T00:00:00"/>
    <n v="6485"/>
    <n v="8940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4-01T00:00:00"/>
    <n v="6373"/>
    <n v="86123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5-01T00:00:00"/>
    <n v="6795"/>
    <n v="8992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6-01T00:00:00"/>
    <n v="6795"/>
    <n v="88331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7-01T00:00:00"/>
    <n v="6570"/>
    <n v="83767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8-01T00:00:00"/>
    <n v="6487"/>
    <n v="81165"/>
    <m/>
    <m/>
    <m/>
    <m/>
    <m/>
    <m/>
    <m/>
    <m/>
    <m/>
    <m/>
    <m/>
    <m/>
    <m/>
  </r>
  <r>
    <x v="9"/>
    <x v="9"/>
    <s v="ND"/>
    <s v="ND"/>
    <s v="ND"/>
    <x v="6"/>
    <s v="ND"/>
    <m/>
    <m/>
    <m/>
    <m/>
    <m/>
    <m/>
    <m/>
    <m/>
    <m/>
    <m/>
    <m/>
    <m/>
    <m/>
    <m/>
    <m/>
  </r>
  <r>
    <x v="9"/>
    <x v="9"/>
    <s v="ND"/>
    <s v="ND"/>
    <s v="ND"/>
    <x v="7"/>
    <s v="ND"/>
    <m/>
    <m/>
    <m/>
    <m/>
    <m/>
    <m/>
    <m/>
    <m/>
    <m/>
    <m/>
    <m/>
    <m/>
    <m/>
    <m/>
    <m/>
  </r>
  <r>
    <x v="10"/>
    <x v="10"/>
    <s v="ND"/>
    <s v="ND"/>
    <s v="ND"/>
    <x v="1"/>
    <s v="ND"/>
    <m/>
    <m/>
    <m/>
    <m/>
    <m/>
    <m/>
    <m/>
    <m/>
    <m/>
    <m/>
    <m/>
    <m/>
    <m/>
    <m/>
    <m/>
  </r>
  <r>
    <x v="10"/>
    <x v="10"/>
    <s v="ND"/>
    <s v="ND"/>
    <s v="ND"/>
    <x v="2"/>
    <s v="ND"/>
    <m/>
    <m/>
    <m/>
    <m/>
    <m/>
    <m/>
    <m/>
    <m/>
    <m/>
    <m/>
    <m/>
    <m/>
    <m/>
    <m/>
    <m/>
  </r>
  <r>
    <x v="10"/>
    <x v="10"/>
    <s v="ND"/>
    <s v="ND"/>
    <s v="ND"/>
    <x v="3"/>
    <s v="ND"/>
    <m/>
    <m/>
    <m/>
    <m/>
    <m/>
    <m/>
    <m/>
    <m/>
    <m/>
    <m/>
    <m/>
    <m/>
    <m/>
    <m/>
    <m/>
  </r>
  <r>
    <x v="10"/>
    <x v="10"/>
    <s v="ND"/>
    <s v="ND"/>
    <s v="ND"/>
    <x v="0"/>
    <s v="ND"/>
    <m/>
    <m/>
    <m/>
    <m/>
    <m/>
    <m/>
    <m/>
    <m/>
    <m/>
    <m/>
    <m/>
    <m/>
    <m/>
    <m/>
    <m/>
  </r>
  <r>
    <x v="10"/>
    <x v="10"/>
    <s v="ND"/>
    <s v="ND"/>
    <s v="ND"/>
    <x v="8"/>
    <s v="ND"/>
    <m/>
    <m/>
    <m/>
    <m/>
    <m/>
    <m/>
    <m/>
    <m/>
    <m/>
    <m/>
    <m/>
    <m/>
    <m/>
    <m/>
    <m/>
  </r>
  <r>
    <x v="10"/>
    <x v="10"/>
    <s v="ND"/>
    <s v="ND"/>
    <s v="ND"/>
    <x v="5"/>
    <s v="ND"/>
    <m/>
    <m/>
    <m/>
    <m/>
    <m/>
    <m/>
    <m/>
    <m/>
    <m/>
    <m/>
    <m/>
    <m/>
    <m/>
    <m/>
    <m/>
  </r>
  <r>
    <x v="10"/>
    <x v="10"/>
    <s v="ND"/>
    <s v="ND"/>
    <s v="ND"/>
    <x v="6"/>
    <s v="ND"/>
    <m/>
    <m/>
    <m/>
    <m/>
    <m/>
    <m/>
    <m/>
    <m/>
    <m/>
    <m/>
    <m/>
    <m/>
    <m/>
    <m/>
    <m/>
  </r>
  <r>
    <x v="11"/>
    <x v="11"/>
    <s v="ND"/>
    <s v="ND"/>
    <s v="ND"/>
    <x v="1"/>
    <s v="ND"/>
    <m/>
    <m/>
    <m/>
    <m/>
    <m/>
    <m/>
    <m/>
    <m/>
    <m/>
    <m/>
    <m/>
    <m/>
    <m/>
    <m/>
    <m/>
  </r>
  <r>
    <x v="11"/>
    <x v="11"/>
    <s v="ND"/>
    <s v="ND"/>
    <s v="ND"/>
    <x v="3"/>
    <s v="ND"/>
    <m/>
    <m/>
    <m/>
    <m/>
    <m/>
    <m/>
    <m/>
    <m/>
    <m/>
    <m/>
    <m/>
    <m/>
    <m/>
    <m/>
    <m/>
  </r>
  <r>
    <x v="11"/>
    <x v="11"/>
    <s v="ND"/>
    <s v="ND"/>
    <s v="ND"/>
    <x v="5"/>
    <s v="ND"/>
    <m/>
    <m/>
    <m/>
    <m/>
    <m/>
    <m/>
    <m/>
    <m/>
    <m/>
    <m/>
    <m/>
    <m/>
    <m/>
    <m/>
    <m/>
  </r>
  <r>
    <x v="12"/>
    <x v="12"/>
    <s v="ND"/>
    <s v="ND"/>
    <s v="ND"/>
    <x v="1"/>
    <s v="ND"/>
    <m/>
    <m/>
    <m/>
    <m/>
    <m/>
    <m/>
    <m/>
    <m/>
    <m/>
    <m/>
    <m/>
    <m/>
    <m/>
    <m/>
    <m/>
  </r>
  <r>
    <x v="12"/>
    <x v="12"/>
    <s v="ND"/>
    <s v="ND"/>
    <s v="ND"/>
    <x v="3"/>
    <s v="ND"/>
    <m/>
    <m/>
    <m/>
    <m/>
    <m/>
    <m/>
    <m/>
    <m/>
    <m/>
    <m/>
    <m/>
    <m/>
    <m/>
    <m/>
    <m/>
  </r>
  <r>
    <x v="12"/>
    <x v="12"/>
    <s v="ND"/>
    <s v="ND"/>
    <s v="ND"/>
    <x v="0"/>
    <s v="ND"/>
    <m/>
    <m/>
    <m/>
    <m/>
    <m/>
    <m/>
    <m/>
    <m/>
    <m/>
    <m/>
    <m/>
    <m/>
    <m/>
    <m/>
    <m/>
  </r>
  <r>
    <x v="13"/>
    <x v="13"/>
    <s v="ND"/>
    <s v="ND"/>
    <s v="ND"/>
    <x v="2"/>
    <s v="ND"/>
    <m/>
    <m/>
    <m/>
    <m/>
    <m/>
    <m/>
    <m/>
    <m/>
    <m/>
    <m/>
    <m/>
    <m/>
    <m/>
    <m/>
    <m/>
  </r>
  <r>
    <x v="13"/>
    <x v="13"/>
    <s v="ND"/>
    <s v="ND"/>
    <s v="ND"/>
    <x v="3"/>
    <s v="ND"/>
    <m/>
    <m/>
    <m/>
    <m/>
    <m/>
    <m/>
    <m/>
    <m/>
    <m/>
    <m/>
    <m/>
    <m/>
    <m/>
    <m/>
    <m/>
  </r>
  <r>
    <x v="13"/>
    <x v="13"/>
    <s v="10385944-1"/>
    <s v="JANNETTE CARMEN BRITO "/>
    <s v="DNPA"/>
    <x v="0"/>
    <d v="2025-12-01T00:00:00"/>
    <n v="20000"/>
    <n v="20748"/>
    <n v="4149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1-01T00:00:00"/>
    <n v="20000"/>
    <n v="20967"/>
    <n v="4193.400000000001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0-01T00:00:00"/>
    <n v="30000"/>
    <n v="31674"/>
    <n v="6334.8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9-01T00:00:00"/>
    <n v="30000"/>
    <n v="21403"/>
    <n v="4280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8-01T00:00:00"/>
    <n v="30000"/>
    <n v="21923"/>
    <n v="4384.6"/>
    <m/>
    <m/>
    <m/>
    <m/>
    <m/>
    <m/>
    <m/>
    <m/>
    <m/>
    <m/>
    <s v="Enviar a Gestionar"/>
    <m/>
  </r>
  <r>
    <x v="13"/>
    <x v="13"/>
    <s v="6455487-5"/>
    <s v="ORLANDO ISMAEL MEDINA CASTRO "/>
    <s v="COBXDIF"/>
    <x v="0"/>
    <d v="2009-11-01T00:00:00"/>
    <n v="5537"/>
    <n v="441059"/>
    <m/>
    <m/>
    <m/>
    <m/>
    <m/>
    <m/>
    <m/>
    <m/>
    <m/>
    <m/>
    <m/>
    <m/>
    <m/>
  </r>
  <r>
    <x v="13"/>
    <x v="13"/>
    <s v="18711684-8"/>
    <s v="MOSQUEIRA RUIZ GERARDO ANTONIO "/>
    <s v="PLANILLAS COMPLEMENTARIAS"/>
    <x v="8"/>
    <d v="2014-01-01T00:00:00"/>
    <n v="28276"/>
    <n v="969264"/>
    <m/>
    <m/>
    <m/>
    <m/>
    <m/>
    <m/>
    <m/>
    <m/>
    <m/>
    <m/>
    <m/>
    <m/>
    <m/>
  </r>
  <r>
    <x v="13"/>
    <x v="13"/>
    <s v="13397930-1"/>
    <s v="CISTERNAS LEAL HECTOR PATRICIO "/>
    <s v="PLANILLAS COMPLEMENTARIAS"/>
    <x v="5"/>
    <d v="2011-05-01T00:00:00"/>
    <n v="6709"/>
    <n v="398828"/>
    <m/>
    <m/>
    <m/>
    <m/>
    <m/>
    <m/>
    <m/>
    <m/>
    <m/>
    <m/>
    <m/>
    <m/>
    <m/>
  </r>
  <r>
    <x v="13"/>
    <x v="13"/>
    <s v="17532361-9"/>
    <s v="AGUILAR AGUILA LEANDRO HATMAN"/>
    <s v="PLANILLAS COMPLEMENTARIAS"/>
    <x v="5"/>
    <d v="2012-07-01T00:00:00"/>
    <n v="3474"/>
    <n v="168733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09-01T00:00:00"/>
    <n v="5098"/>
    <n v="188209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10-01T00:00:00"/>
    <n v="4990"/>
    <n v="180714"/>
    <m/>
    <m/>
    <m/>
    <m/>
    <m/>
    <m/>
    <m/>
    <m/>
    <m/>
    <m/>
    <m/>
    <m/>
    <m/>
  </r>
  <r>
    <x v="13"/>
    <x v="13"/>
    <s v="262235992-1"/>
    <s v="SAINT-FLEUR EXAU"/>
    <s v="DNPA"/>
    <x v="5"/>
    <d v="2024-09-01T00:00:00"/>
    <n v="179851"/>
    <n v="288916"/>
    <n v="57783.2"/>
    <m/>
    <m/>
    <m/>
    <m/>
    <m/>
    <m/>
    <m/>
    <m/>
    <m/>
    <m/>
    <s v="Enviar a Gestionar"/>
    <m/>
  </r>
  <r>
    <x v="13"/>
    <x v="13"/>
    <s v="26633473-7"/>
    <s v="SAINTE FLEUR FRANTZSO"/>
    <s v="DNPA"/>
    <x v="5"/>
    <d v="2024-09-01T00:00:00"/>
    <n v="106367"/>
    <n v="172271"/>
    <n v="34454.2"/>
    <m/>
    <m/>
    <m/>
    <m/>
    <m/>
    <m/>
    <m/>
    <m/>
    <m/>
    <m/>
    <s v="Enviar a Gestionar"/>
    <m/>
  </r>
  <r>
    <x v="13"/>
    <x v="13"/>
    <s v="26235992-1"/>
    <s v="SAINT-FLEUR EXAU"/>
    <s v="PLANILLAS COMPLEMENTARIAS"/>
    <x v="5"/>
    <d v="2024-11-01T00:00:00"/>
    <n v="194445"/>
    <n v="289697"/>
    <m/>
    <m/>
    <m/>
    <m/>
    <m/>
    <m/>
    <m/>
    <m/>
    <m/>
    <m/>
    <m/>
    <m/>
    <m/>
  </r>
  <r>
    <x v="13"/>
    <x v="13"/>
    <s v="15227029-1"/>
    <s v="MORAGA LUNA VICTOR ANDRES"/>
    <s v="DNPA"/>
    <x v="6"/>
    <d v="2025-04-01T00:00:00"/>
    <n v="75000"/>
    <n v="93496"/>
    <n v="18699.2"/>
    <m/>
    <m/>
    <m/>
    <m/>
    <m/>
    <m/>
    <m/>
    <m/>
    <m/>
    <m/>
    <s v="Enviar a Gestionar"/>
    <m/>
  </r>
  <r>
    <x v="13"/>
    <x v="13"/>
    <s v="15227029-1"/>
    <s v="MORAGA LUNA VICTOR ANDRES"/>
    <s v="DNPA"/>
    <x v="6"/>
    <d v="2025-05-01T00:00:00"/>
    <n v="75000"/>
    <n v="88857"/>
    <n v="17771.4"/>
    <m/>
    <m/>
    <m/>
    <m/>
    <m/>
    <m/>
    <m/>
    <m/>
    <m/>
    <m/>
    <s v="Enviar a Gestionar"/>
    <m/>
  </r>
  <r>
    <x v="13"/>
    <x v="13"/>
    <s v="ND"/>
    <s v="ND"/>
    <s v="ND"/>
    <x v="7"/>
    <s v="ND"/>
    <m/>
    <m/>
    <m/>
    <m/>
    <m/>
    <m/>
    <m/>
    <m/>
    <m/>
    <m/>
    <m/>
    <m/>
    <m/>
    <m/>
    <m/>
  </r>
  <r>
    <x v="4"/>
    <x v="4"/>
    <s v="12023729-2"/>
    <s v="JAIME FELIPE ZINIGA DE"/>
    <s v="COBXDIF"/>
    <x v="0"/>
    <d v="2017-03-01T00:00:00"/>
    <n v="28256"/>
    <n v="506861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2023729-2"/>
    <s v="JAIME FELIPE ZINIGA DE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2023729-2"/>
    <s v="JAIME FELIPE ZINIGA DE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2023729-2"/>
    <s v="JAIME FELIPE ZINIGA DE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ND"/>
    <s v="ND"/>
    <s v="ND"/>
    <x v="7"/>
    <s v="ND"/>
    <m/>
    <m/>
    <m/>
    <m/>
    <m/>
    <m/>
    <m/>
    <m/>
    <m/>
    <m/>
    <m/>
    <m/>
    <m/>
    <m/>
    <m/>
  </r>
  <r>
    <x v="14"/>
    <x v="14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2"/>
    <s v="ND"/>
    <m/>
    <m/>
    <m/>
    <m/>
    <m/>
    <m/>
    <m/>
    <m/>
    <m/>
    <m/>
    <m/>
    <m/>
    <m/>
    <m/>
    <m/>
  </r>
  <r>
    <x v="15"/>
    <x v="15"/>
    <s v="ND"/>
    <s v="ND"/>
    <s v="ND"/>
    <x v="3"/>
    <s v="ND"/>
    <m/>
    <m/>
    <m/>
    <m/>
    <m/>
    <m/>
    <m/>
    <m/>
    <m/>
    <m/>
    <m/>
    <m/>
    <m/>
    <m/>
    <m/>
  </r>
  <r>
    <x v="15"/>
    <x v="15"/>
    <s v="ND"/>
    <s v="ND"/>
    <s v="ND"/>
    <x v="0"/>
    <s v="ND"/>
    <m/>
    <m/>
    <m/>
    <m/>
    <m/>
    <m/>
    <m/>
    <m/>
    <m/>
    <m/>
    <m/>
    <m/>
    <m/>
    <m/>
    <m/>
  </r>
  <r>
    <x v="15"/>
    <x v="15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6"/>
    <s v="ND"/>
    <m/>
    <m/>
    <m/>
    <m/>
    <m/>
    <m/>
    <m/>
    <m/>
    <m/>
    <m/>
    <m/>
    <m/>
    <m/>
    <m/>
    <m/>
  </r>
  <r>
    <x v="15"/>
    <x v="15"/>
    <s v="ND"/>
    <s v="ND"/>
    <s v="ND"/>
    <x v="7"/>
    <s v="ND"/>
    <m/>
    <m/>
    <m/>
    <m/>
    <m/>
    <m/>
    <m/>
    <m/>
    <m/>
    <m/>
    <m/>
    <m/>
    <m/>
    <m/>
    <m/>
  </r>
  <r>
    <x v="13"/>
    <x v="13"/>
    <m/>
    <m/>
    <m/>
    <x v="1"/>
    <d v="2025-12-01T00:00:00"/>
    <n v="886800"/>
    <n v="915884"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count="163">
  <r>
    <x v="0"/>
    <x v="0"/>
    <s v="13579555-0"/>
    <s v="PATRICIO HERNAN GONZALEZ PANES"/>
    <s v="DNPA"/>
    <x v="0"/>
    <d v="2025-11-01T00:00:00"/>
    <n v="30000"/>
    <n v="31449"/>
    <n v="6289.8"/>
    <m/>
    <m/>
    <m/>
    <m/>
    <m/>
    <m/>
    <m/>
    <m/>
    <m/>
    <m/>
    <s v="Enviar a Gestionar"/>
    <m/>
  </r>
  <r>
    <x v="0"/>
    <x v="0"/>
    <s v="13579555-0"/>
    <s v="PATRICIO HERNAN GONZALEZ PANES"/>
    <s v="DNPA"/>
    <x v="0"/>
    <d v="2025-12-01T00:00:00"/>
    <n v="30000"/>
    <n v="31122"/>
    <n v="6224.400000000001"/>
    <m/>
    <m/>
    <m/>
    <m/>
    <m/>
    <m/>
    <m/>
    <m/>
    <m/>
    <m/>
    <s v="Enviar a Gestionar"/>
    <m/>
  </r>
  <r>
    <x v="0"/>
    <x v="0"/>
    <s v="ND"/>
    <s v="ND"/>
    <s v="ND"/>
    <x v="1"/>
    <s v="ND"/>
    <m/>
    <m/>
    <m/>
    <m/>
    <m/>
    <m/>
    <m/>
    <m/>
    <m/>
    <m/>
    <m/>
    <m/>
    <m/>
    <m/>
    <m/>
  </r>
  <r>
    <x v="0"/>
    <x v="0"/>
    <s v="ND"/>
    <s v="ND"/>
    <s v="ND"/>
    <x v="2"/>
    <s v="ND"/>
    <m/>
    <m/>
    <m/>
    <m/>
    <m/>
    <m/>
    <m/>
    <m/>
    <m/>
    <m/>
    <m/>
    <m/>
    <m/>
    <m/>
    <m/>
  </r>
  <r>
    <x v="0"/>
    <x v="0"/>
    <m/>
    <s v="ND"/>
    <s v="ND"/>
    <x v="3"/>
    <s v="ND"/>
    <m/>
    <m/>
    <m/>
    <m/>
    <m/>
    <m/>
    <m/>
    <m/>
    <m/>
    <m/>
    <m/>
    <m/>
    <m/>
    <m/>
    <m/>
  </r>
  <r>
    <x v="0"/>
    <x v="0"/>
    <s v="ND"/>
    <s v="ND"/>
    <s v="ND"/>
    <x v="4"/>
    <s v="ND"/>
    <m/>
    <m/>
    <m/>
    <m/>
    <m/>
    <m/>
    <m/>
    <m/>
    <m/>
    <m/>
    <m/>
    <m/>
    <m/>
    <m/>
    <m/>
  </r>
  <r>
    <x v="0"/>
    <x v="0"/>
    <s v="ND"/>
    <s v="ND"/>
    <s v="ND"/>
    <x v="5"/>
    <s v="ND"/>
    <m/>
    <m/>
    <m/>
    <m/>
    <m/>
    <m/>
    <m/>
    <m/>
    <m/>
    <m/>
    <m/>
    <m/>
    <m/>
    <m/>
    <m/>
  </r>
  <r>
    <x v="0"/>
    <x v="0"/>
    <s v="ND"/>
    <s v="ND"/>
    <s v="ND"/>
    <x v="6"/>
    <s v="ND"/>
    <m/>
    <m/>
    <m/>
    <m/>
    <m/>
    <m/>
    <m/>
    <m/>
    <m/>
    <m/>
    <m/>
    <m/>
    <m/>
    <m/>
    <m/>
  </r>
  <r>
    <x v="0"/>
    <x v="0"/>
    <s v="ND"/>
    <s v="ND"/>
    <s v="ND"/>
    <x v="7"/>
    <s v="ND"/>
    <m/>
    <m/>
    <m/>
    <m/>
    <m/>
    <m/>
    <m/>
    <m/>
    <m/>
    <m/>
    <m/>
    <m/>
    <m/>
    <m/>
    <m/>
  </r>
  <r>
    <x v="1"/>
    <x v="1"/>
    <s v="ND"/>
    <s v="ND"/>
    <s v="ND"/>
    <x v="1"/>
    <s v="ND"/>
    <m/>
    <m/>
    <m/>
    <m/>
    <m/>
    <m/>
    <m/>
    <m/>
    <m/>
    <m/>
    <m/>
    <m/>
    <m/>
    <m/>
    <m/>
  </r>
  <r>
    <x v="1"/>
    <x v="1"/>
    <s v="ND"/>
    <s v="ND"/>
    <s v="ND"/>
    <x v="2"/>
    <s v="ND"/>
    <m/>
    <m/>
    <m/>
    <m/>
    <m/>
    <m/>
    <m/>
    <m/>
    <m/>
    <m/>
    <m/>
    <m/>
    <m/>
    <m/>
    <m/>
  </r>
  <r>
    <x v="1"/>
    <x v="1"/>
    <s v="ND"/>
    <s v="ND"/>
    <s v="ND"/>
    <x v="3"/>
    <s v="ND"/>
    <m/>
    <m/>
    <m/>
    <m/>
    <m/>
    <m/>
    <m/>
    <m/>
    <m/>
    <m/>
    <m/>
    <m/>
    <m/>
    <m/>
    <m/>
  </r>
  <r>
    <x v="1"/>
    <x v="1"/>
    <s v="ND"/>
    <s v="ND"/>
    <s v="ND"/>
    <x v="0"/>
    <s v="ND"/>
    <m/>
    <m/>
    <m/>
    <m/>
    <m/>
    <m/>
    <m/>
    <m/>
    <m/>
    <m/>
    <m/>
    <m/>
    <m/>
    <m/>
    <m/>
  </r>
  <r>
    <x v="1"/>
    <x v="1"/>
    <s v="ND"/>
    <s v="ND"/>
    <s v="ND"/>
    <x v="4"/>
    <s v="ND"/>
    <m/>
    <m/>
    <m/>
    <m/>
    <m/>
    <m/>
    <m/>
    <m/>
    <m/>
    <m/>
    <m/>
    <m/>
    <m/>
    <m/>
    <m/>
  </r>
  <r>
    <x v="1"/>
    <x v="1"/>
    <s v="ND"/>
    <s v="ND"/>
    <s v="ND"/>
    <x v="5"/>
    <s v="ND"/>
    <m/>
    <m/>
    <m/>
    <m/>
    <m/>
    <m/>
    <m/>
    <m/>
    <m/>
    <m/>
    <m/>
    <m/>
    <m/>
    <m/>
    <m/>
  </r>
  <r>
    <x v="1"/>
    <x v="1"/>
    <s v="ND"/>
    <s v="ND"/>
    <s v="ND"/>
    <x v="6"/>
    <s v="ND"/>
    <m/>
    <m/>
    <m/>
    <m/>
    <m/>
    <m/>
    <m/>
    <m/>
    <m/>
    <m/>
    <m/>
    <m/>
    <m/>
    <m/>
    <m/>
  </r>
  <r>
    <x v="1"/>
    <x v="1"/>
    <s v="ND"/>
    <s v="ND"/>
    <s v="ND"/>
    <x v="7"/>
    <s v="ND"/>
    <m/>
    <m/>
    <m/>
    <m/>
    <m/>
    <m/>
    <m/>
    <m/>
    <m/>
    <m/>
    <m/>
    <m/>
    <m/>
    <m/>
    <m/>
  </r>
  <r>
    <x v="2"/>
    <x v="2"/>
    <s v="ND"/>
    <s v="ND"/>
    <s v="ND"/>
    <x v="1"/>
    <s v="ND"/>
    <m/>
    <m/>
    <m/>
    <m/>
    <m/>
    <m/>
    <m/>
    <m/>
    <m/>
    <m/>
    <m/>
    <m/>
    <m/>
    <m/>
    <m/>
  </r>
  <r>
    <x v="2"/>
    <x v="2"/>
    <s v="ND"/>
    <s v="ND"/>
    <s v="ND"/>
    <x v="2"/>
    <s v="ND"/>
    <m/>
    <m/>
    <m/>
    <m/>
    <m/>
    <m/>
    <m/>
    <m/>
    <m/>
    <m/>
    <m/>
    <m/>
    <m/>
    <m/>
    <m/>
  </r>
  <r>
    <x v="2"/>
    <x v="2"/>
    <s v="ND"/>
    <s v="ND"/>
    <s v="ND"/>
    <x v="3"/>
    <s v="ND"/>
    <m/>
    <m/>
    <m/>
    <m/>
    <m/>
    <m/>
    <m/>
    <m/>
    <m/>
    <m/>
    <m/>
    <m/>
    <m/>
    <m/>
    <m/>
  </r>
  <r>
    <x v="2"/>
    <x v="2"/>
    <s v="ND"/>
    <s v="ND"/>
    <s v="ND"/>
    <x v="0"/>
    <s v="ND"/>
    <m/>
    <m/>
    <m/>
    <m/>
    <m/>
    <m/>
    <m/>
    <m/>
    <m/>
    <m/>
    <m/>
    <m/>
    <m/>
    <m/>
    <m/>
  </r>
  <r>
    <x v="2"/>
    <x v="2"/>
    <s v="ND"/>
    <s v="ND"/>
    <s v="ND"/>
    <x v="4"/>
    <s v="ND"/>
    <m/>
    <m/>
    <m/>
    <m/>
    <m/>
    <m/>
    <m/>
    <m/>
    <m/>
    <m/>
    <m/>
    <m/>
    <m/>
    <m/>
    <m/>
  </r>
  <r>
    <x v="2"/>
    <x v="2"/>
    <s v="ND"/>
    <s v="ND"/>
    <s v="ND"/>
    <x v="5"/>
    <s v="ND"/>
    <m/>
    <m/>
    <m/>
    <m/>
    <m/>
    <m/>
    <m/>
    <m/>
    <m/>
    <m/>
    <m/>
    <m/>
    <m/>
    <m/>
    <m/>
  </r>
  <r>
    <x v="2"/>
    <x v="2"/>
    <s v="ND"/>
    <s v="ND"/>
    <s v="ND"/>
    <x v="6"/>
    <s v="ND"/>
    <m/>
    <m/>
    <m/>
    <m/>
    <m/>
    <m/>
    <m/>
    <m/>
    <m/>
    <m/>
    <m/>
    <m/>
    <m/>
    <m/>
    <m/>
  </r>
  <r>
    <x v="2"/>
    <x v="2"/>
    <s v="ND"/>
    <s v="ND"/>
    <s v="ND"/>
    <x v="7"/>
    <s v="ND"/>
    <m/>
    <m/>
    <m/>
    <m/>
    <m/>
    <m/>
    <m/>
    <m/>
    <m/>
    <m/>
    <m/>
    <m/>
    <m/>
    <m/>
    <m/>
  </r>
  <r>
    <x v="3"/>
    <x v="3"/>
    <s v="ND"/>
    <s v="ND"/>
    <s v="ND"/>
    <x v="1"/>
    <s v="ND"/>
    <m/>
    <m/>
    <m/>
    <m/>
    <m/>
    <m/>
    <m/>
    <m/>
    <m/>
    <m/>
    <m/>
    <m/>
    <m/>
    <m/>
    <m/>
  </r>
  <r>
    <x v="3"/>
    <x v="3"/>
    <s v="ND"/>
    <s v="ND"/>
    <s v="ND"/>
    <x v="3"/>
    <s v="ND"/>
    <m/>
    <m/>
    <m/>
    <m/>
    <m/>
    <m/>
    <m/>
    <m/>
    <m/>
    <m/>
    <m/>
    <m/>
    <m/>
    <m/>
    <m/>
  </r>
  <r>
    <x v="3"/>
    <x v="3"/>
    <s v="ND"/>
    <s v="ND"/>
    <s v="ND"/>
    <x v="0"/>
    <s v="ND"/>
    <m/>
    <m/>
    <m/>
    <m/>
    <m/>
    <m/>
    <m/>
    <m/>
    <m/>
    <m/>
    <m/>
    <m/>
    <m/>
    <m/>
    <m/>
  </r>
  <r>
    <x v="4"/>
    <x v="4"/>
    <s v="ND"/>
    <s v="ND"/>
    <s v="ND"/>
    <x v="1"/>
    <s v="ND"/>
    <m/>
    <m/>
    <m/>
    <m/>
    <m/>
    <m/>
    <m/>
    <m/>
    <m/>
    <m/>
    <m/>
    <m/>
    <m/>
    <m/>
    <m/>
  </r>
  <r>
    <x v="4"/>
    <x v="4"/>
    <s v="ND"/>
    <s v="ND"/>
    <s v="ND"/>
    <x v="2"/>
    <s v="ND"/>
    <m/>
    <m/>
    <m/>
    <m/>
    <m/>
    <m/>
    <m/>
    <m/>
    <m/>
    <m/>
    <m/>
    <m/>
    <m/>
    <m/>
    <m/>
  </r>
  <r>
    <x v="4"/>
    <x v="4"/>
    <s v="ND"/>
    <s v="ND"/>
    <s v="ND"/>
    <x v="3"/>
    <s v="ND"/>
    <m/>
    <m/>
    <m/>
    <m/>
    <m/>
    <m/>
    <m/>
    <m/>
    <m/>
    <m/>
    <m/>
    <m/>
    <m/>
    <m/>
    <m/>
  </r>
  <r>
    <x v="4"/>
    <x v="4"/>
    <s v="ND"/>
    <s v="ND"/>
    <s v="ND"/>
    <x v="4"/>
    <s v="ND"/>
    <m/>
    <m/>
    <m/>
    <m/>
    <m/>
    <m/>
    <m/>
    <m/>
    <m/>
    <m/>
    <m/>
    <m/>
    <m/>
    <m/>
    <m/>
  </r>
  <r>
    <x v="4"/>
    <x v="4"/>
    <s v="ND"/>
    <s v="ND"/>
    <s v="ND"/>
    <x v="5"/>
    <s v="ND"/>
    <m/>
    <m/>
    <m/>
    <m/>
    <m/>
    <m/>
    <m/>
    <m/>
    <m/>
    <m/>
    <m/>
    <m/>
    <m/>
    <m/>
    <m/>
  </r>
  <r>
    <x v="4"/>
    <x v="4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1"/>
    <s v="ND"/>
    <m/>
    <m/>
    <m/>
    <m/>
    <m/>
    <m/>
    <m/>
    <m/>
    <m/>
    <m/>
    <m/>
    <m/>
    <m/>
    <m/>
    <m/>
  </r>
  <r>
    <x v="5"/>
    <x v="5"/>
    <s v="ND"/>
    <s v="ND"/>
    <s v="ND"/>
    <x v="2"/>
    <s v="ND"/>
    <m/>
    <m/>
    <m/>
    <m/>
    <m/>
    <m/>
    <m/>
    <m/>
    <m/>
    <m/>
    <m/>
    <m/>
    <m/>
    <m/>
    <m/>
  </r>
  <r>
    <x v="5"/>
    <x v="5"/>
    <s v="ND"/>
    <s v="ND"/>
    <s v="ND"/>
    <x v="3"/>
    <s v="ND"/>
    <m/>
    <m/>
    <m/>
    <m/>
    <m/>
    <m/>
    <m/>
    <m/>
    <m/>
    <m/>
    <m/>
    <m/>
    <m/>
    <m/>
    <m/>
  </r>
  <r>
    <x v="5"/>
    <x v="5"/>
    <s v="8725329-5"/>
    <s v="ROBERTO ALEJANDRO "/>
    <s v="COBXDIF"/>
    <x v="0"/>
    <d v="2017-01-01T00:00:00"/>
    <n v="10462"/>
    <n v="194067"/>
    <m/>
    <m/>
    <m/>
    <m/>
    <m/>
    <m/>
    <m/>
    <m/>
    <m/>
    <m/>
    <m/>
    <m/>
    <m/>
  </r>
  <r>
    <x v="5"/>
    <x v="5"/>
    <s v="8725329-5"/>
    <s v="ROBERTO ALEJANDRO "/>
    <s v="COBXDIF"/>
    <x v="0"/>
    <d v="2017-02-01T00:00:00"/>
    <n v="28170"/>
    <n v="513613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3-01T00:00:00"/>
    <n v="28256"/>
    <n v="512061"/>
    <m/>
    <m/>
    <m/>
    <m/>
    <m/>
    <m/>
    <m/>
    <m/>
    <m/>
    <m/>
    <m/>
    <m/>
    <m/>
  </r>
  <r>
    <x v="5"/>
    <x v="5"/>
    <s v="8725329-5"/>
    <s v="ROBERTO ALEJANDRO "/>
    <s v="COBXDIF"/>
    <x v="0"/>
    <d v="2017-03-01T00:00:00"/>
    <n v="22447"/>
    <n v="401305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4-01T00:00:00"/>
    <n v="28351"/>
    <n v="503956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5-01T00:00:00"/>
    <n v="28426"/>
    <n v="494530"/>
    <m/>
    <m/>
    <m/>
    <m/>
    <m/>
    <m/>
    <m/>
    <m/>
    <m/>
    <m/>
    <m/>
    <m/>
    <m/>
  </r>
  <r>
    <x v="5"/>
    <x v="5"/>
    <s v="18909331-4"/>
    <s v="JORGE ENRIQUE NOVOA CARRILLO "/>
    <s v="COBXDIF"/>
    <x v="0"/>
    <d v="2017-06-01T00:00:00"/>
    <n v="28463"/>
    <n v="486197"/>
    <m/>
    <m/>
    <m/>
    <m/>
    <m/>
    <m/>
    <m/>
    <m/>
    <m/>
    <m/>
    <m/>
    <m/>
    <m/>
  </r>
  <r>
    <x v="5"/>
    <x v="5"/>
    <s v="ND"/>
    <s v="ND"/>
    <s v="ND"/>
    <x v="4"/>
    <s v="ND"/>
    <m/>
    <m/>
    <m/>
    <m/>
    <m/>
    <m/>
    <m/>
    <m/>
    <m/>
    <m/>
    <m/>
    <m/>
    <m/>
    <m/>
    <m/>
  </r>
  <r>
    <x v="5"/>
    <x v="5"/>
    <s v="9812849-2"/>
    <s v="CAMPOS CHAVARRIGA JOSE REMIGINIO"/>
    <s v="DNPA"/>
    <x v="5"/>
    <d v="2025-08-01T00:00:00"/>
    <n v="101694"/>
    <n v="107709"/>
    <n v="21541.8"/>
    <m/>
    <m/>
    <m/>
    <m/>
    <m/>
    <m/>
    <m/>
    <m/>
    <m/>
    <m/>
    <s v="Enviar a Gestionar"/>
    <m/>
  </r>
  <r>
    <x v="5"/>
    <x v="5"/>
    <s v="ND"/>
    <s v="ND"/>
    <s v="ND"/>
    <x v="6"/>
    <s v="ND"/>
    <m/>
    <m/>
    <m/>
    <m/>
    <m/>
    <m/>
    <m/>
    <m/>
    <m/>
    <m/>
    <m/>
    <m/>
    <m/>
    <m/>
    <m/>
  </r>
  <r>
    <x v="5"/>
    <x v="5"/>
    <s v="ND"/>
    <s v="ND"/>
    <s v="ND"/>
    <x v="7"/>
    <s v="ND"/>
    <m/>
    <m/>
    <m/>
    <m/>
    <m/>
    <m/>
    <m/>
    <m/>
    <m/>
    <m/>
    <m/>
    <m/>
    <m/>
    <m/>
    <m/>
  </r>
  <r>
    <x v="6"/>
    <x v="6"/>
    <s v="ND"/>
    <s v="ND"/>
    <s v="ND"/>
    <x v="1"/>
    <s v="ND"/>
    <m/>
    <m/>
    <m/>
    <m/>
    <m/>
    <m/>
    <m/>
    <m/>
    <m/>
    <m/>
    <m/>
    <m/>
    <m/>
    <m/>
    <m/>
  </r>
  <r>
    <x v="6"/>
    <x v="6"/>
    <s v="ND"/>
    <s v="ND"/>
    <s v="ND"/>
    <x v="2"/>
    <s v="ND"/>
    <m/>
    <m/>
    <m/>
    <m/>
    <m/>
    <m/>
    <m/>
    <m/>
    <m/>
    <m/>
    <m/>
    <m/>
    <m/>
    <m/>
    <m/>
  </r>
  <r>
    <x v="6"/>
    <x v="6"/>
    <s v="ND"/>
    <s v="ND"/>
    <s v="ND"/>
    <x v="3"/>
    <s v="ND"/>
    <m/>
    <m/>
    <m/>
    <m/>
    <m/>
    <m/>
    <m/>
    <m/>
    <m/>
    <m/>
    <m/>
    <m/>
    <m/>
    <m/>
    <m/>
  </r>
  <r>
    <x v="6"/>
    <x v="6"/>
    <s v="17528835-K"/>
    <s v="CONSTANZA VALERIA"/>
    <s v="DNPA"/>
    <x v="0"/>
    <d v="2025-10-01T00:00:00"/>
    <n v="15000"/>
    <n v="15827"/>
    <n v="3165.4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1-01T00:00:00"/>
    <n v="15000"/>
    <n v="15725"/>
    <n v="3145"/>
    <m/>
    <m/>
    <m/>
    <m/>
    <m/>
    <m/>
    <m/>
    <m/>
    <m/>
    <m/>
    <s v="Enviar a Gestionar"/>
    <m/>
  </r>
  <r>
    <x v="6"/>
    <x v="6"/>
    <s v="17528835-K"/>
    <s v="CONSTANZA VALERIA"/>
    <s v="DNPA"/>
    <x v="0"/>
    <d v="2025-12-01T00:00:00"/>
    <n v="15000"/>
    <n v="15561"/>
    <n v="3112.2"/>
    <m/>
    <m/>
    <m/>
    <m/>
    <m/>
    <m/>
    <m/>
    <m/>
    <m/>
    <m/>
    <s v="Enviar a Gestionar"/>
    <m/>
  </r>
  <r>
    <x v="6"/>
    <x v="6"/>
    <s v="ND"/>
    <s v="ND"/>
    <s v="ND"/>
    <x v="4"/>
    <s v="ND"/>
    <m/>
    <m/>
    <m/>
    <m/>
    <m/>
    <m/>
    <m/>
    <m/>
    <m/>
    <m/>
    <m/>
    <m/>
    <m/>
    <m/>
    <m/>
  </r>
  <r>
    <x v="6"/>
    <x v="6"/>
    <s v="ND"/>
    <s v="ND"/>
    <s v="ND"/>
    <x v="5"/>
    <s v="ND"/>
    <m/>
    <m/>
    <m/>
    <m/>
    <m/>
    <m/>
    <m/>
    <m/>
    <m/>
    <m/>
    <m/>
    <m/>
    <m/>
    <m/>
    <m/>
  </r>
  <r>
    <x v="6"/>
    <x v="6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1"/>
    <s v="ND"/>
    <m/>
    <m/>
    <m/>
    <m/>
    <m/>
    <m/>
    <m/>
    <m/>
    <m/>
    <m/>
    <m/>
    <m/>
    <m/>
    <m/>
    <m/>
  </r>
  <r>
    <x v="7"/>
    <x v="7"/>
    <s v="ND"/>
    <s v="ND"/>
    <s v="ND"/>
    <x v="2"/>
    <s v="ND"/>
    <m/>
    <m/>
    <m/>
    <m/>
    <m/>
    <m/>
    <m/>
    <m/>
    <m/>
    <m/>
    <m/>
    <m/>
    <m/>
    <m/>
    <m/>
  </r>
  <r>
    <x v="7"/>
    <x v="7"/>
    <s v="ND"/>
    <s v="ND"/>
    <s v="ND"/>
    <x v="3"/>
    <s v="ND"/>
    <m/>
    <m/>
    <m/>
    <m/>
    <m/>
    <m/>
    <m/>
    <m/>
    <m/>
    <m/>
    <m/>
    <m/>
    <m/>
    <m/>
    <m/>
  </r>
  <r>
    <x v="7"/>
    <x v="7"/>
    <s v="ND"/>
    <s v="ND"/>
    <s v="ND"/>
    <x v="0"/>
    <s v="ND"/>
    <m/>
    <m/>
    <m/>
    <m/>
    <m/>
    <m/>
    <m/>
    <m/>
    <m/>
    <m/>
    <m/>
    <m/>
    <m/>
    <m/>
    <m/>
  </r>
  <r>
    <x v="7"/>
    <x v="7"/>
    <s v="ND"/>
    <s v="ND"/>
    <s v="ND"/>
    <x v="8"/>
    <s v="ND"/>
    <m/>
    <m/>
    <m/>
    <m/>
    <m/>
    <m/>
    <m/>
    <m/>
    <m/>
    <m/>
    <m/>
    <m/>
    <m/>
    <m/>
    <m/>
  </r>
  <r>
    <x v="7"/>
    <x v="7"/>
    <s v="11129346-5"/>
    <s v="URIBE CHANDIA LEMUEL LAZARO"/>
    <s v="DNPA"/>
    <x v="5"/>
    <d v="2025-08-01T00:00:00"/>
    <n v="138359"/>
    <n v="145806"/>
    <n v="29161.2"/>
    <m/>
    <m/>
    <m/>
    <m/>
    <m/>
    <m/>
    <m/>
    <m/>
    <m/>
    <m/>
    <s v="Enviar a Gestionar"/>
    <m/>
  </r>
  <r>
    <x v="7"/>
    <x v="7"/>
    <s v="ND"/>
    <s v="ND"/>
    <s v="ND"/>
    <x v="6"/>
    <s v="ND"/>
    <m/>
    <m/>
    <m/>
    <m/>
    <m/>
    <m/>
    <m/>
    <m/>
    <m/>
    <m/>
    <m/>
    <m/>
    <m/>
    <m/>
    <m/>
  </r>
  <r>
    <x v="7"/>
    <x v="7"/>
    <s v="ND"/>
    <s v="ND"/>
    <s v="ND"/>
    <x v="7"/>
    <s v="ND"/>
    <m/>
    <m/>
    <m/>
    <m/>
    <m/>
    <m/>
    <m/>
    <m/>
    <m/>
    <m/>
    <m/>
    <m/>
    <m/>
    <m/>
    <m/>
  </r>
  <r>
    <x v="8"/>
    <x v="8"/>
    <s v="ND"/>
    <s v="ND"/>
    <s v="ND"/>
    <x v="1"/>
    <s v="ND"/>
    <m/>
    <m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1-01T00:00:00"/>
    <n v="19373"/>
    <n v="293429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7-12-01T00:00:00"/>
    <n v="22928"/>
    <n v="340352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1-01T00:00:00"/>
    <n v="19405"/>
    <n v="281727"/>
    <m/>
    <m/>
    <m/>
    <m/>
    <m/>
    <m/>
    <m/>
    <m/>
    <m/>
    <m/>
    <m/>
    <m/>
    <m/>
  </r>
  <r>
    <x v="8"/>
    <x v="8"/>
    <s v="16602931-7"/>
    <s v="INOSTROZA CORTEZ EMILIO JOSE"/>
    <s v="PLANILLAS COMPLEMENTARIAS"/>
    <x v="2"/>
    <d v="2018-02-01T00:00:00"/>
    <n v="19405"/>
    <n v="276569"/>
    <m/>
    <m/>
    <m/>
    <m/>
    <m/>
    <m/>
    <m/>
    <m/>
    <m/>
    <m/>
    <m/>
    <m/>
    <m/>
  </r>
  <r>
    <x v="8"/>
    <x v="8"/>
    <s v="ND"/>
    <s v="ND"/>
    <s v="ND"/>
    <x v="3"/>
    <s v="ND"/>
    <m/>
    <m/>
    <m/>
    <m/>
    <m/>
    <m/>
    <m/>
    <m/>
    <m/>
    <m/>
    <m/>
    <m/>
    <m/>
    <m/>
    <m/>
  </r>
  <r>
    <x v="8"/>
    <x v="8"/>
    <s v="8725329-5"/>
    <s v="ROBERTO ALEJANDRO "/>
    <s v="COBXDIF"/>
    <x v="0"/>
    <d v="2016-10-01T00:00:00"/>
    <n v="7430"/>
    <n v="145674"/>
    <m/>
    <m/>
    <m/>
    <m/>
    <m/>
    <m/>
    <m/>
    <m/>
    <m/>
    <m/>
    <m/>
    <m/>
    <m/>
  </r>
  <r>
    <x v="8"/>
    <x v="8"/>
    <s v="8725329-5"/>
    <s v="ROBERTO ALEJANDRO "/>
    <s v="COBXDIF"/>
    <x v="0"/>
    <d v="2016-11-01T00:00:00"/>
    <n v="27568"/>
    <n v="530271"/>
    <m/>
    <m/>
    <m/>
    <m/>
    <m/>
    <m/>
    <m/>
    <m/>
    <m/>
    <m/>
    <m/>
    <m/>
    <m/>
  </r>
  <r>
    <x v="8"/>
    <x v="8"/>
    <s v="8725329-5"/>
    <s v="ROBERTO ALEJANDRO "/>
    <s v="COBXDIF"/>
    <x v="0"/>
    <d v="2016-12-01T00:00:00"/>
    <n v="27602"/>
    <n v="521929"/>
    <m/>
    <m/>
    <m/>
    <m/>
    <m/>
    <m/>
    <m/>
    <m/>
    <m/>
    <m/>
    <m/>
    <m/>
    <m/>
  </r>
  <r>
    <x v="8"/>
    <x v="8"/>
    <s v="8725329-5"/>
    <s v="ROBERTO ALEJANDRO "/>
    <s v="COBXDIF"/>
    <x v="0"/>
    <d v="2017-01-01T00:00:00"/>
    <n v="21448"/>
    <n v="397917"/>
    <m/>
    <m/>
    <m/>
    <m/>
    <m/>
    <m/>
    <m/>
    <m/>
    <m/>
    <m/>
    <m/>
    <m/>
    <m/>
  </r>
  <r>
    <x v="8"/>
    <x v="8"/>
    <s v="10506837-9"/>
    <s v="SERGIO JOSE GARCIA URBIN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3963010-6"/>
    <s v="RODRIGO ANDRES MARIN MARIN "/>
    <s v="COBXDIF"/>
    <x v="0"/>
    <d v="2021-01-01T00:00:00"/>
    <n v="1411"/>
    <n v="4224"/>
    <m/>
    <m/>
    <m/>
    <m/>
    <m/>
    <m/>
    <m/>
    <m/>
    <m/>
    <m/>
    <m/>
    <m/>
    <m/>
  </r>
  <r>
    <x v="8"/>
    <x v="8"/>
    <s v="14201299-5"/>
    <s v="FABIAN ALONSO REYES SAAVEDRA"/>
    <s v="COBXDIF"/>
    <x v="0"/>
    <d v="2021-01-01T00:00:00"/>
    <n v="126"/>
    <n v="4224"/>
    <m/>
    <m/>
    <m/>
    <m/>
    <m/>
    <m/>
    <m/>
    <m/>
    <m/>
    <m/>
    <m/>
    <m/>
    <m/>
  </r>
  <r>
    <x v="8"/>
    <x v="8"/>
    <s v="10015538-9"/>
    <s v="TEOVALDO GERMAN POBLETE"/>
    <s v="COBXDIF"/>
    <x v="0"/>
    <d v="2021-01-01T00:00:00"/>
    <n v="1536"/>
    <n v="4224"/>
    <m/>
    <m/>
    <m/>
    <m/>
    <m/>
    <m/>
    <m/>
    <m/>
    <m/>
    <m/>
    <m/>
    <m/>
    <m/>
  </r>
  <r>
    <x v="8"/>
    <x v="8"/>
    <s v="10227874-7"/>
    <s v="CARLOS MAURICIO CIFUENTES NAUTO "/>
    <s v="COBXDIF"/>
    <x v="0"/>
    <d v="2021-01-01T00:00:00"/>
    <n v="169"/>
    <n v="4224"/>
    <m/>
    <m/>
    <m/>
    <m/>
    <m/>
    <m/>
    <m/>
    <m/>
    <m/>
    <m/>
    <m/>
    <m/>
    <m/>
  </r>
  <r>
    <x v="8"/>
    <x v="8"/>
    <s v="12194539-8"/>
    <s v="MARISOL YOLANDA CORDOVA ESPANA"/>
    <s v="COBXDIF"/>
    <x v="0"/>
    <d v="2021-01-01T00:00:00"/>
    <n v="678"/>
    <n v="4224"/>
    <m/>
    <m/>
    <m/>
    <m/>
    <m/>
    <m/>
    <m/>
    <m/>
    <m/>
    <m/>
    <m/>
    <m/>
    <m/>
  </r>
  <r>
    <x v="8"/>
    <x v="8"/>
    <s v="14299061-K"/>
    <s v="CRISTIAN HONORINDO "/>
    <s v="COBXDIF"/>
    <x v="0"/>
    <d v="2021-01-01T00:00:00"/>
    <n v="264"/>
    <n v="4224"/>
    <m/>
    <m/>
    <m/>
    <m/>
    <m/>
    <m/>
    <m/>
    <m/>
    <m/>
    <m/>
    <m/>
    <m/>
    <m/>
  </r>
  <r>
    <x v="8"/>
    <x v="8"/>
    <s v="14479093-6"/>
    <s v="CRISTINA ISABEL SEGUEL PINO "/>
    <s v="COBXDIF"/>
    <x v="0"/>
    <d v="2021-01-01T00:00:00"/>
    <n v="336"/>
    <n v="4224"/>
    <m/>
    <m/>
    <m/>
    <m/>
    <m/>
    <m/>
    <m/>
    <m/>
    <m/>
    <m/>
    <m/>
    <m/>
    <m/>
  </r>
  <r>
    <x v="8"/>
    <x v="8"/>
    <s v="17972826-5"/>
    <s v="BORIS NICOLAS SEPULVEDA FLORES "/>
    <s v="COBXDIF"/>
    <x v="0"/>
    <d v="2021-01-01T00:00:00"/>
    <n v="210"/>
    <n v="4224"/>
    <m/>
    <m/>
    <m/>
    <m/>
    <m/>
    <m/>
    <m/>
    <m/>
    <m/>
    <m/>
    <m/>
    <m/>
    <m/>
  </r>
  <r>
    <x v="8"/>
    <x v="8"/>
    <s v="16385968-8"/>
    <s v="JONATHAN ESTEBAN VARGAS"/>
    <s v="COBXDIF"/>
    <x v="0"/>
    <d v="2021-01-01T00:00:00"/>
    <n v="1265"/>
    <n v="4224"/>
    <m/>
    <m/>
    <m/>
    <m/>
    <m/>
    <m/>
    <m/>
    <m/>
    <m/>
    <m/>
    <m/>
    <m/>
    <m/>
  </r>
  <r>
    <x v="8"/>
    <x v="8"/>
    <s v="18133293-K"/>
    <s v="DAVID EMANUEL VERA ANCALI "/>
    <s v="COBXDIF"/>
    <x v="0"/>
    <d v="2021-01-01T00:00:00"/>
    <n v="126"/>
    <n v="4224"/>
    <m/>
    <m/>
    <m/>
    <m/>
    <m/>
    <m/>
    <m/>
    <m/>
    <m/>
    <m/>
    <m/>
    <m/>
    <m/>
  </r>
  <r>
    <x v="8"/>
    <x v="8"/>
    <s v="11811628-3"/>
    <s v="MISAEL VIRGINIO ANTILLANCA"/>
    <s v="COBXDIF"/>
    <x v="0"/>
    <d v="2021-01-01T00:00:00"/>
    <n v="615"/>
    <n v="4224"/>
    <m/>
    <m/>
    <m/>
    <m/>
    <m/>
    <m/>
    <m/>
    <m/>
    <m/>
    <m/>
    <m/>
    <m/>
    <m/>
  </r>
  <r>
    <x v="8"/>
    <x v="8"/>
    <s v="13100917-8"/>
    <s v="CARLA ALEJANDRA CONTRERAS CONTRERAS"/>
    <s v="PLANILLAS COMPLEMENTARIAS"/>
    <x v="8"/>
    <d v="2016-11-01T00:00:00"/>
    <n v="48946"/>
    <n v="936424"/>
    <m/>
    <m/>
    <m/>
    <m/>
    <m/>
    <m/>
    <m/>
    <m/>
    <m/>
    <m/>
    <m/>
    <m/>
    <m/>
  </r>
  <r>
    <x v="8"/>
    <x v="8"/>
    <s v="18436508-1"/>
    <s v="ALEJANDRO ANSELMO MILLAQUEO PAINEMAN"/>
    <s v="PLANILLAS COMPLEMENTARIAS"/>
    <x v="8"/>
    <d v="2016-11-01T00:00:00"/>
    <n v="431"/>
    <n v="8268"/>
    <m/>
    <m/>
    <m/>
    <m/>
    <m/>
    <m/>
    <m/>
    <m/>
    <m/>
    <m/>
    <m/>
    <m/>
    <m/>
  </r>
  <r>
    <x v="8"/>
    <x v="8"/>
    <s v="19072137-K"/>
    <s v="ACUNA SILVA DANIEL PATRICIO "/>
    <s v="DNPA"/>
    <x v="5"/>
    <d v="2017-08-01T00:00:00"/>
    <n v="10000"/>
    <n v="157517"/>
    <n v="31503.4"/>
    <m/>
    <m/>
    <m/>
    <m/>
    <m/>
    <m/>
    <m/>
    <m/>
    <m/>
    <m/>
    <s v="Enviar a Gestionar"/>
    <m/>
  </r>
  <r>
    <x v="8"/>
    <x v="8"/>
    <s v="19366252-8"/>
    <s v="VARGAS POVEDA VICTOR MANUEL "/>
    <s v="PLANILLAS COMPLEMENTARIAS"/>
    <x v="5"/>
    <d v="2018-04-01T00:00:00"/>
    <n v="6578"/>
    <n v="88310"/>
    <m/>
    <m/>
    <m/>
    <m/>
    <m/>
    <m/>
    <m/>
    <m/>
    <m/>
    <m/>
    <m/>
    <m/>
    <m/>
  </r>
  <r>
    <x v="8"/>
    <x v="8"/>
    <s v="17592680-1"/>
    <s v="ARRA FERNANDEZ GUSTAVO BERNARDO "/>
    <s v="DNPA"/>
    <x v="6"/>
    <d v="2024-12-01T00:00:00"/>
    <n v="10000"/>
    <n v="14080"/>
    <n v="2816"/>
    <m/>
    <m/>
    <m/>
    <m/>
    <m/>
    <m/>
    <m/>
    <m/>
    <m/>
    <m/>
    <s v="Enviar a Gestionar"/>
    <m/>
  </r>
  <r>
    <x v="8"/>
    <x v="8"/>
    <s v="9760921-7"/>
    <s v="ULLOA CONCHA MITZA LORENA"/>
    <s v="DNPA"/>
    <x v="6"/>
    <d v="2024-12-01T00:00:00"/>
    <n v="50000"/>
    <n v="71115"/>
    <n v="14223"/>
    <m/>
    <m/>
    <m/>
    <m/>
    <m/>
    <m/>
    <m/>
    <m/>
    <m/>
    <m/>
    <s v="Enviar a Gestionar"/>
    <m/>
  </r>
  <r>
    <x v="8"/>
    <x v="8"/>
    <s v="ND"/>
    <s v="ND"/>
    <s v="ND"/>
    <x v="7"/>
    <s v="ND"/>
    <m/>
    <m/>
    <m/>
    <m/>
    <m/>
    <m/>
    <m/>
    <m/>
    <m/>
    <m/>
    <m/>
    <m/>
    <m/>
    <m/>
    <m/>
  </r>
  <r>
    <x v="9"/>
    <x v="9"/>
    <s v="ND"/>
    <s v="ND"/>
    <s v="ND"/>
    <x v="1"/>
    <s v="ND"/>
    <m/>
    <m/>
    <m/>
    <m/>
    <m/>
    <m/>
    <m/>
    <m/>
    <m/>
    <m/>
    <m/>
    <m/>
    <m/>
    <m/>
    <m/>
  </r>
  <r>
    <x v="9"/>
    <x v="9"/>
    <s v="ND"/>
    <s v="ND"/>
    <s v="ND"/>
    <x v="2"/>
    <s v="ND"/>
    <m/>
    <m/>
    <m/>
    <m/>
    <m/>
    <m/>
    <m/>
    <m/>
    <m/>
    <m/>
    <m/>
    <m/>
    <m/>
    <m/>
    <m/>
  </r>
  <r>
    <x v="9"/>
    <x v="9"/>
    <s v="ND"/>
    <s v="ND"/>
    <s v="ND"/>
    <x v="3"/>
    <s v="ND"/>
    <m/>
    <m/>
    <m/>
    <m/>
    <m/>
    <m/>
    <m/>
    <m/>
    <m/>
    <m/>
    <m/>
    <m/>
    <m/>
    <m/>
    <m/>
  </r>
  <r>
    <x v="9"/>
    <x v="9"/>
    <s v="ND"/>
    <s v="ND"/>
    <s v="ND"/>
    <x v="0"/>
    <s v="ND"/>
    <m/>
    <m/>
    <m/>
    <m/>
    <m/>
    <m/>
    <m/>
    <m/>
    <m/>
    <m/>
    <m/>
    <m/>
    <m/>
    <m/>
    <m/>
  </r>
  <r>
    <x v="9"/>
    <x v="9"/>
    <s v="ND"/>
    <s v="ND"/>
    <s v="ND"/>
    <x v="8"/>
    <s v="ND"/>
    <m/>
    <m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3-01T00:00:00"/>
    <n v="6485"/>
    <n v="8940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4-01T00:00:00"/>
    <n v="6373"/>
    <n v="86123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5-01T00:00:00"/>
    <n v="6795"/>
    <n v="89920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6-01T00:00:00"/>
    <n v="6795"/>
    <n v="88331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7-01T00:00:00"/>
    <n v="6570"/>
    <n v="83767"/>
    <m/>
    <m/>
    <m/>
    <m/>
    <m/>
    <m/>
    <m/>
    <m/>
    <m/>
    <m/>
    <m/>
    <m/>
    <m/>
  </r>
  <r>
    <x v="9"/>
    <x v="9"/>
    <s v="19.764.175-4"/>
    <s v="HIDALGO MÉNDEZ CRISTÓBAL MATÍAS"/>
    <s v="PLANILLAS COMPLEMENTARIAS"/>
    <x v="5"/>
    <d v="2018-08-01T00:00:00"/>
    <n v="6487"/>
    <n v="81165"/>
    <m/>
    <m/>
    <m/>
    <m/>
    <m/>
    <m/>
    <m/>
    <m/>
    <m/>
    <m/>
    <m/>
    <m/>
    <m/>
  </r>
  <r>
    <x v="9"/>
    <x v="9"/>
    <s v="ND"/>
    <s v="ND"/>
    <s v="ND"/>
    <x v="6"/>
    <s v="ND"/>
    <m/>
    <m/>
    <m/>
    <m/>
    <m/>
    <m/>
    <m/>
    <m/>
    <m/>
    <m/>
    <m/>
    <m/>
    <m/>
    <m/>
    <m/>
  </r>
  <r>
    <x v="9"/>
    <x v="9"/>
    <s v="ND"/>
    <s v="ND"/>
    <s v="ND"/>
    <x v="7"/>
    <s v="ND"/>
    <m/>
    <m/>
    <m/>
    <m/>
    <m/>
    <m/>
    <m/>
    <m/>
    <m/>
    <m/>
    <m/>
    <m/>
    <m/>
    <m/>
    <m/>
  </r>
  <r>
    <x v="10"/>
    <x v="10"/>
    <s v="ND"/>
    <s v="ND"/>
    <s v="ND"/>
    <x v="1"/>
    <s v="ND"/>
    <m/>
    <m/>
    <m/>
    <m/>
    <m/>
    <m/>
    <m/>
    <m/>
    <m/>
    <m/>
    <m/>
    <m/>
    <m/>
    <m/>
    <m/>
  </r>
  <r>
    <x v="10"/>
    <x v="10"/>
    <s v="ND"/>
    <s v="ND"/>
    <s v="ND"/>
    <x v="2"/>
    <s v="ND"/>
    <m/>
    <m/>
    <m/>
    <m/>
    <m/>
    <m/>
    <m/>
    <m/>
    <m/>
    <m/>
    <m/>
    <m/>
    <m/>
    <m/>
    <m/>
  </r>
  <r>
    <x v="10"/>
    <x v="10"/>
    <s v="ND"/>
    <s v="ND"/>
    <s v="ND"/>
    <x v="3"/>
    <s v="ND"/>
    <m/>
    <m/>
    <m/>
    <m/>
    <m/>
    <m/>
    <m/>
    <m/>
    <m/>
    <m/>
    <m/>
    <m/>
    <m/>
    <m/>
    <m/>
  </r>
  <r>
    <x v="10"/>
    <x v="10"/>
    <s v="ND"/>
    <s v="ND"/>
    <s v="ND"/>
    <x v="0"/>
    <s v="ND"/>
    <m/>
    <m/>
    <m/>
    <m/>
    <m/>
    <m/>
    <m/>
    <m/>
    <m/>
    <m/>
    <m/>
    <m/>
    <m/>
    <m/>
    <m/>
  </r>
  <r>
    <x v="10"/>
    <x v="10"/>
    <s v="ND"/>
    <s v="ND"/>
    <s v="ND"/>
    <x v="8"/>
    <s v="ND"/>
    <m/>
    <m/>
    <m/>
    <m/>
    <m/>
    <m/>
    <m/>
    <m/>
    <m/>
    <m/>
    <m/>
    <m/>
    <m/>
    <m/>
    <m/>
  </r>
  <r>
    <x v="10"/>
    <x v="10"/>
    <s v="ND"/>
    <s v="ND"/>
    <s v="ND"/>
    <x v="5"/>
    <s v="ND"/>
    <m/>
    <m/>
    <m/>
    <m/>
    <m/>
    <m/>
    <m/>
    <m/>
    <m/>
    <m/>
    <m/>
    <m/>
    <m/>
    <m/>
    <m/>
  </r>
  <r>
    <x v="10"/>
    <x v="10"/>
    <s v="ND"/>
    <s v="ND"/>
    <s v="ND"/>
    <x v="6"/>
    <s v="ND"/>
    <m/>
    <m/>
    <m/>
    <m/>
    <m/>
    <m/>
    <m/>
    <m/>
    <m/>
    <m/>
    <m/>
    <m/>
    <m/>
    <m/>
    <m/>
  </r>
  <r>
    <x v="11"/>
    <x v="11"/>
    <s v="ND"/>
    <s v="ND"/>
    <s v="ND"/>
    <x v="1"/>
    <s v="ND"/>
    <m/>
    <m/>
    <m/>
    <m/>
    <m/>
    <m/>
    <m/>
    <m/>
    <m/>
    <m/>
    <m/>
    <m/>
    <m/>
    <m/>
    <m/>
  </r>
  <r>
    <x v="11"/>
    <x v="11"/>
    <s v="ND"/>
    <s v="ND"/>
    <s v="ND"/>
    <x v="3"/>
    <s v="ND"/>
    <m/>
    <m/>
    <m/>
    <m/>
    <m/>
    <m/>
    <m/>
    <m/>
    <m/>
    <m/>
    <m/>
    <m/>
    <m/>
    <m/>
    <m/>
  </r>
  <r>
    <x v="11"/>
    <x v="11"/>
    <s v="ND"/>
    <s v="ND"/>
    <s v="ND"/>
    <x v="5"/>
    <s v="ND"/>
    <m/>
    <m/>
    <m/>
    <m/>
    <m/>
    <m/>
    <m/>
    <m/>
    <m/>
    <m/>
    <m/>
    <m/>
    <m/>
    <m/>
    <m/>
  </r>
  <r>
    <x v="12"/>
    <x v="12"/>
    <s v="ND"/>
    <s v="ND"/>
    <s v="ND"/>
    <x v="1"/>
    <s v="ND"/>
    <m/>
    <m/>
    <m/>
    <m/>
    <m/>
    <m/>
    <m/>
    <m/>
    <m/>
    <m/>
    <m/>
    <m/>
    <m/>
    <m/>
    <m/>
  </r>
  <r>
    <x v="12"/>
    <x v="12"/>
    <s v="ND"/>
    <s v="ND"/>
    <s v="ND"/>
    <x v="3"/>
    <s v="ND"/>
    <m/>
    <m/>
    <m/>
    <m/>
    <m/>
    <m/>
    <m/>
    <m/>
    <m/>
    <m/>
    <m/>
    <m/>
    <m/>
    <m/>
    <m/>
  </r>
  <r>
    <x v="12"/>
    <x v="12"/>
    <s v="ND"/>
    <s v="ND"/>
    <s v="ND"/>
    <x v="0"/>
    <s v="ND"/>
    <m/>
    <m/>
    <m/>
    <m/>
    <m/>
    <m/>
    <m/>
    <m/>
    <m/>
    <m/>
    <m/>
    <m/>
    <m/>
    <m/>
    <m/>
  </r>
  <r>
    <x v="13"/>
    <x v="13"/>
    <s v="ND"/>
    <s v="ND"/>
    <s v="ND"/>
    <x v="2"/>
    <s v="ND"/>
    <m/>
    <m/>
    <m/>
    <m/>
    <m/>
    <m/>
    <m/>
    <m/>
    <m/>
    <m/>
    <m/>
    <m/>
    <m/>
    <m/>
    <m/>
  </r>
  <r>
    <x v="13"/>
    <x v="13"/>
    <s v="ND"/>
    <s v="ND"/>
    <s v="ND"/>
    <x v="3"/>
    <s v="ND"/>
    <m/>
    <m/>
    <m/>
    <m/>
    <m/>
    <m/>
    <m/>
    <m/>
    <m/>
    <m/>
    <m/>
    <m/>
    <m/>
    <m/>
    <m/>
  </r>
  <r>
    <x v="13"/>
    <x v="13"/>
    <s v="10385944-1"/>
    <s v="JANNETTE CARMEN BRITO "/>
    <s v="DNPA"/>
    <x v="0"/>
    <d v="2025-12-01T00:00:00"/>
    <n v="20000"/>
    <n v="20748"/>
    <n v="4149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1-01T00:00:00"/>
    <n v="20000"/>
    <n v="20967"/>
    <n v="4193.400000000001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10-01T00:00:00"/>
    <n v="30000"/>
    <n v="31674"/>
    <n v="6334.8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9-01T00:00:00"/>
    <n v="30000"/>
    <n v="21403"/>
    <n v="4280.6"/>
    <m/>
    <m/>
    <m/>
    <m/>
    <m/>
    <m/>
    <m/>
    <m/>
    <m/>
    <m/>
    <s v="Enviar a Gestionar"/>
    <m/>
  </r>
  <r>
    <x v="13"/>
    <x v="13"/>
    <s v="10385944-1"/>
    <s v="JANNETTE CARMEN BRITO "/>
    <s v="DNPA"/>
    <x v="0"/>
    <d v="2025-08-01T00:00:00"/>
    <n v="30000"/>
    <n v="21923"/>
    <n v="4384.6"/>
    <m/>
    <m/>
    <m/>
    <m/>
    <m/>
    <m/>
    <m/>
    <m/>
    <m/>
    <m/>
    <s v="Enviar a Gestionar"/>
    <m/>
  </r>
  <r>
    <x v="13"/>
    <x v="13"/>
    <s v="6455487-5"/>
    <s v="ORLANDO ISMAEL MEDINA CASTRO "/>
    <s v="COBXDIF"/>
    <x v="0"/>
    <d v="2009-11-01T00:00:00"/>
    <n v="5537"/>
    <n v="441059"/>
    <m/>
    <m/>
    <m/>
    <m/>
    <m/>
    <m/>
    <m/>
    <m/>
    <m/>
    <m/>
    <m/>
    <m/>
    <m/>
  </r>
  <r>
    <x v="13"/>
    <x v="13"/>
    <s v="18711684-8"/>
    <s v="MOSQUEIRA RUIZ GERARDO ANTONIO "/>
    <s v="PLANILLAS COMPLEMENTARIAS"/>
    <x v="8"/>
    <d v="2014-01-01T00:00:00"/>
    <n v="28276"/>
    <n v="969264"/>
    <m/>
    <m/>
    <m/>
    <m/>
    <m/>
    <m/>
    <m/>
    <m/>
    <m/>
    <m/>
    <m/>
    <m/>
    <m/>
  </r>
  <r>
    <x v="13"/>
    <x v="13"/>
    <s v="13397930-1"/>
    <s v="CISTERNAS LEAL HECTOR PATRICIO "/>
    <s v="PLANILLAS COMPLEMENTARIAS"/>
    <x v="5"/>
    <d v="2011-05-01T00:00:00"/>
    <n v="6709"/>
    <n v="398828"/>
    <m/>
    <m/>
    <m/>
    <m/>
    <m/>
    <m/>
    <m/>
    <m/>
    <m/>
    <m/>
    <m/>
    <m/>
    <m/>
  </r>
  <r>
    <x v="13"/>
    <x v="13"/>
    <s v="17532361-9"/>
    <s v="AGUILAR AGUILA LEANDRO HATMAN"/>
    <s v="PLANILLAS COMPLEMENTARIAS"/>
    <x v="5"/>
    <d v="2012-07-01T00:00:00"/>
    <n v="3474"/>
    <n v="168733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09-01T00:00:00"/>
    <n v="5098"/>
    <n v="188209"/>
    <m/>
    <m/>
    <m/>
    <m/>
    <m/>
    <m/>
    <m/>
    <m/>
    <m/>
    <m/>
    <m/>
    <m/>
    <m/>
  </r>
  <r>
    <x v="13"/>
    <x v="13"/>
    <s v="15264556-2"/>
    <s v="RAVENA HUENUMILLA CAROLINA ANDREA"/>
    <s v="PLANILLAS COMPLEMENTARIAS"/>
    <x v="5"/>
    <d v="2013-10-01T00:00:00"/>
    <n v="4990"/>
    <n v="180714"/>
    <m/>
    <m/>
    <m/>
    <m/>
    <m/>
    <m/>
    <m/>
    <m/>
    <m/>
    <m/>
    <m/>
    <m/>
    <m/>
  </r>
  <r>
    <x v="13"/>
    <x v="13"/>
    <s v="262235992-1"/>
    <s v="SAINT-FLEUR EXAU"/>
    <s v="DNPA"/>
    <x v="5"/>
    <d v="2024-09-01T00:00:00"/>
    <n v="179851"/>
    <n v="288916"/>
    <n v="57783.2"/>
    <m/>
    <m/>
    <m/>
    <m/>
    <m/>
    <m/>
    <m/>
    <m/>
    <m/>
    <m/>
    <s v="Enviar a Gestionar"/>
    <m/>
  </r>
  <r>
    <x v="13"/>
    <x v="13"/>
    <s v="26633473-7"/>
    <s v="SAINTE FLEUR FRANTZSO"/>
    <s v="DNPA"/>
    <x v="5"/>
    <d v="2024-09-01T00:00:00"/>
    <n v="106367"/>
    <n v="172271"/>
    <n v="34454.2"/>
    <m/>
    <m/>
    <m/>
    <m/>
    <m/>
    <m/>
    <m/>
    <m/>
    <m/>
    <m/>
    <s v="Enviar a Gestionar"/>
    <m/>
  </r>
  <r>
    <x v="13"/>
    <x v="13"/>
    <s v="26235992-1"/>
    <s v="SAINT-FLEUR EXAU"/>
    <s v="PLANILLAS COMPLEMENTARIAS"/>
    <x v="5"/>
    <d v="2024-11-01T00:00:00"/>
    <n v="194445"/>
    <n v="289697"/>
    <m/>
    <m/>
    <m/>
    <m/>
    <m/>
    <m/>
    <m/>
    <m/>
    <m/>
    <m/>
    <m/>
    <m/>
    <m/>
  </r>
  <r>
    <x v="13"/>
    <x v="13"/>
    <s v="15227029-1"/>
    <s v="MORAGA LUNA VICTOR ANDRES"/>
    <s v="DNPA"/>
    <x v="6"/>
    <d v="2025-04-01T00:00:00"/>
    <n v="75000"/>
    <n v="93496"/>
    <n v="18699.2"/>
    <m/>
    <m/>
    <m/>
    <m/>
    <m/>
    <m/>
    <m/>
    <m/>
    <m/>
    <m/>
    <s v="Enviar a Gestionar"/>
    <m/>
  </r>
  <r>
    <x v="13"/>
    <x v="13"/>
    <s v="15227029-1"/>
    <s v="MORAGA LUNA VICTOR ANDRES"/>
    <s v="DNPA"/>
    <x v="6"/>
    <d v="2025-05-01T00:00:00"/>
    <n v="75000"/>
    <n v="88857"/>
    <n v="17771.4"/>
    <m/>
    <m/>
    <m/>
    <m/>
    <m/>
    <m/>
    <m/>
    <m/>
    <m/>
    <m/>
    <s v="Enviar a Gestionar"/>
    <m/>
  </r>
  <r>
    <x v="13"/>
    <x v="13"/>
    <s v="ND"/>
    <s v="ND"/>
    <s v="ND"/>
    <x v="7"/>
    <s v="ND"/>
    <m/>
    <m/>
    <m/>
    <m/>
    <m/>
    <m/>
    <m/>
    <m/>
    <m/>
    <m/>
    <m/>
    <m/>
    <m/>
    <m/>
    <m/>
  </r>
  <r>
    <x v="4"/>
    <x v="4"/>
    <s v="12023729-2"/>
    <s v="JAIME FELIPE ZINIGA DE"/>
    <s v="COBXDIF"/>
    <x v="0"/>
    <d v="2017-03-01T00:00:00"/>
    <n v="28256"/>
    <n v="506861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2023729-2"/>
    <s v="JAIME FELIPE ZINIGA DE"/>
    <s v="COBXDIF"/>
    <x v="0"/>
    <d v="2017-02-01T00:00:00"/>
    <n v="28170"/>
    <n v="51798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7-01-01T00:00:00"/>
    <n v="28091"/>
    <n v="525597"/>
    <m/>
    <m/>
    <m/>
    <m/>
    <m/>
    <m/>
    <m/>
    <m/>
    <m/>
    <m/>
    <m/>
    <m/>
    <m/>
  </r>
  <r>
    <x v="4"/>
    <x v="4"/>
    <s v="12023729-2"/>
    <s v="JAIME FELIPE ZINIGA DE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2-01T00:00:00"/>
    <n v="27602"/>
    <n v="526368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2023729-2"/>
    <s v="JAIME FELIPE ZINIGA DE"/>
    <s v="COBXDIF"/>
    <x v="0"/>
    <d v="2016-11-01T00:00:00"/>
    <n v="27568"/>
    <n v="534780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10-01T00:00:00"/>
    <n v="27512"/>
    <n v="543992"/>
    <m/>
    <m/>
    <m/>
    <m/>
    <m/>
    <m/>
    <m/>
    <m/>
    <m/>
    <m/>
    <m/>
    <m/>
    <m/>
  </r>
  <r>
    <x v="4"/>
    <x v="4"/>
    <s v="12023729-2"/>
    <s v="JAIME FELIPE ZINIGA DE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9-01T00:00:00"/>
    <n v="27474"/>
    <n v="552827"/>
    <m/>
    <m/>
    <m/>
    <m/>
    <m/>
    <m/>
    <m/>
    <m/>
    <m/>
    <m/>
    <m/>
    <m/>
    <m/>
  </r>
  <r>
    <x v="4"/>
    <x v="4"/>
    <s v="12023729-2"/>
    <s v="JAIME FELIPE ZINIGA DE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18909331-4"/>
    <s v="JORGE ENRIQUE NOVOA CARRILLO "/>
    <s v="COBXDIF"/>
    <x v="0"/>
    <d v="2016-08-01T00:00:00"/>
    <n v="27457"/>
    <n v="561847"/>
    <m/>
    <m/>
    <m/>
    <m/>
    <m/>
    <m/>
    <m/>
    <m/>
    <m/>
    <m/>
    <m/>
    <m/>
    <m/>
  </r>
  <r>
    <x v="4"/>
    <x v="4"/>
    <s v="ND"/>
    <s v="ND"/>
    <s v="ND"/>
    <x v="7"/>
    <s v="ND"/>
    <m/>
    <m/>
    <m/>
    <m/>
    <m/>
    <m/>
    <m/>
    <m/>
    <m/>
    <m/>
    <m/>
    <m/>
    <m/>
    <m/>
    <m/>
  </r>
  <r>
    <x v="14"/>
    <x v="14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2"/>
    <s v="ND"/>
    <m/>
    <m/>
    <m/>
    <m/>
    <m/>
    <m/>
    <m/>
    <m/>
    <m/>
    <m/>
    <m/>
    <m/>
    <m/>
    <m/>
    <m/>
  </r>
  <r>
    <x v="15"/>
    <x v="15"/>
    <s v="ND"/>
    <s v="ND"/>
    <s v="ND"/>
    <x v="3"/>
    <s v="ND"/>
    <m/>
    <m/>
    <m/>
    <m/>
    <m/>
    <m/>
    <m/>
    <m/>
    <m/>
    <m/>
    <m/>
    <m/>
    <m/>
    <m/>
    <m/>
  </r>
  <r>
    <x v="15"/>
    <x v="15"/>
    <s v="ND"/>
    <s v="ND"/>
    <s v="ND"/>
    <x v="0"/>
    <s v="ND"/>
    <m/>
    <m/>
    <m/>
    <m/>
    <m/>
    <m/>
    <m/>
    <m/>
    <m/>
    <m/>
    <m/>
    <m/>
    <m/>
    <m/>
    <m/>
  </r>
  <r>
    <x v="15"/>
    <x v="15"/>
    <s v="ND"/>
    <s v="ND"/>
    <s v="ND"/>
    <x v="8"/>
    <s v="ND"/>
    <m/>
    <m/>
    <m/>
    <m/>
    <m/>
    <m/>
    <m/>
    <m/>
    <m/>
    <m/>
    <m/>
    <m/>
    <m/>
    <m/>
    <m/>
  </r>
  <r>
    <x v="15"/>
    <x v="15"/>
    <s v="ND"/>
    <s v="ND"/>
    <s v="ND"/>
    <x v="6"/>
    <s v="ND"/>
    <m/>
    <m/>
    <m/>
    <m/>
    <m/>
    <m/>
    <m/>
    <m/>
    <m/>
    <m/>
    <m/>
    <m/>
    <m/>
    <m/>
    <m/>
  </r>
  <r>
    <x v="15"/>
    <x v="15"/>
    <s v="ND"/>
    <s v="ND"/>
    <s v="ND"/>
    <x v="7"/>
    <s v="ND"/>
    <m/>
    <m/>
    <m/>
    <m/>
    <m/>
    <m/>
    <m/>
    <m/>
    <m/>
    <m/>
    <m/>
    <m/>
    <m/>
    <m/>
    <m/>
  </r>
  <r>
    <x v="13"/>
    <x v="13"/>
    <m/>
    <m/>
    <m/>
    <x v="1"/>
    <d v="2025-12-01T00:00:00"/>
    <n v="886800"/>
    <n v="915884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3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U21:V42" firstHeaderRow="1" firstDataRow="1" firstDataCol="1" rowPageCount="1" colPageCount="1"/>
  <pivotFields count="29">
    <pivotField showAll="0"/>
    <pivotField showAll="0"/>
    <pivotField axis="axisRow" showAll="0">
      <items count="78">
        <item x="21"/>
        <item x="69"/>
        <item x="71"/>
        <item x="22"/>
        <item x="47"/>
        <item x="63"/>
        <item x="7"/>
        <item x="19"/>
        <item x="13"/>
        <item x="52"/>
        <item x="58"/>
        <item x="5"/>
        <item x="14"/>
        <item x="12"/>
        <item x="50"/>
        <item x="62"/>
        <item x="66"/>
        <item x="6"/>
        <item x="48"/>
        <item x="61"/>
        <item x="68"/>
        <item x="18"/>
        <item x="73"/>
        <item x="23"/>
        <item x="45"/>
        <item x="35"/>
        <item x="17"/>
        <item x="36"/>
        <item x="33"/>
        <item x="44"/>
        <item x="56"/>
        <item x="51"/>
        <item x="9"/>
        <item x="28"/>
        <item x="31"/>
        <item x="3"/>
        <item x="74"/>
        <item x="8"/>
        <item x="1"/>
        <item x="25"/>
        <item x="59"/>
        <item x="24"/>
        <item x="49"/>
        <item x="40"/>
        <item x="67"/>
        <item x="57"/>
        <item x="70"/>
        <item x="30"/>
        <item x="32"/>
        <item x="29"/>
        <item x="16"/>
        <item x="43"/>
        <item x="37"/>
        <item x="11"/>
        <item x="4"/>
        <item x="20"/>
        <item x="54"/>
        <item x="34"/>
        <item x="53"/>
        <item x="46"/>
        <item x="2"/>
        <item x="41"/>
        <item x="60"/>
        <item x="75"/>
        <item x="15"/>
        <item x="42"/>
        <item x="55"/>
        <item x="72"/>
        <item x="27"/>
        <item x="38"/>
        <item x="39"/>
        <item x="65"/>
        <item x="26"/>
        <item x="64"/>
        <item x="10"/>
        <item x="0"/>
        <item x="7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72">
        <item x="7"/>
        <item x="83"/>
        <item x="47"/>
        <item x="46"/>
        <item x="75"/>
        <item x="155"/>
        <item x="27"/>
        <item x="56"/>
        <item x="60"/>
        <item x="55"/>
        <item x="59"/>
        <item x="58"/>
        <item x="57"/>
        <item x="169"/>
        <item x="69"/>
        <item x="89"/>
        <item x="170"/>
        <item x="150"/>
        <item x="104"/>
        <item x="81"/>
        <item x="63"/>
        <item x="94"/>
        <item x="97"/>
        <item x="62"/>
        <item x="108"/>
        <item x="105"/>
        <item x="74"/>
        <item x="93"/>
        <item x="103"/>
        <item x="158"/>
        <item x="136"/>
        <item x="70"/>
        <item x="90"/>
        <item x="15"/>
        <item x="96"/>
        <item x="151"/>
        <item x="45"/>
        <item x="142"/>
        <item x="82"/>
        <item x="143"/>
        <item x="98"/>
        <item x="101"/>
        <item x="102"/>
        <item x="77"/>
        <item x="122"/>
        <item x="85"/>
        <item x="71"/>
        <item x="100"/>
        <item x="9"/>
        <item x="95"/>
        <item x="168"/>
        <item x="167"/>
        <item x="44"/>
        <item x="14"/>
        <item x="109"/>
        <item x="61"/>
        <item x="1"/>
        <item x="123"/>
        <item x="18"/>
        <item x="19"/>
        <item x="48"/>
        <item x="20"/>
        <item x="49"/>
        <item x="21"/>
        <item x="22"/>
        <item x="23"/>
        <item x="24"/>
        <item x="25"/>
        <item x="26"/>
        <item x="135"/>
        <item x="72"/>
        <item x="149"/>
        <item x="11"/>
        <item x="79"/>
        <item x="80"/>
        <item x="124"/>
        <item x="73"/>
        <item x="125"/>
        <item x="65"/>
        <item x="76"/>
        <item x="126"/>
        <item x="156"/>
        <item x="17"/>
        <item x="16"/>
        <item x="127"/>
        <item x="86"/>
        <item x="87"/>
        <item x="88"/>
        <item x="152"/>
        <item x="153"/>
        <item x="154"/>
        <item x="165"/>
        <item x="166"/>
        <item x="139"/>
        <item x="140"/>
        <item x="91"/>
        <item x="141"/>
        <item x="92"/>
        <item x="110"/>
        <item x="64"/>
        <item x="52"/>
        <item x="111"/>
        <item x="112"/>
        <item x="113"/>
        <item x="114"/>
        <item x="99"/>
        <item x="115"/>
        <item x="163"/>
        <item x="116"/>
        <item x="117"/>
        <item x="54"/>
        <item x="118"/>
        <item x="40"/>
        <item x="41"/>
        <item x="42"/>
        <item x="119"/>
        <item x="120"/>
        <item x="164"/>
        <item x="84"/>
        <item x="53"/>
        <item x="28"/>
        <item x="31"/>
        <item x="32"/>
        <item x="30"/>
        <item x="36"/>
        <item x="33"/>
        <item x="29"/>
        <item x="35"/>
        <item x="34"/>
        <item x="37"/>
        <item x="38"/>
        <item x="39"/>
        <item x="8"/>
        <item x="144"/>
        <item x="147"/>
        <item x="10"/>
        <item x="146"/>
        <item x="67"/>
        <item x="145"/>
        <item x="50"/>
        <item x="51"/>
        <item x="2"/>
        <item x="128"/>
        <item x="3"/>
        <item x="129"/>
        <item x="130"/>
        <item x="4"/>
        <item x="131"/>
        <item x="132"/>
        <item x="133"/>
        <item x="148"/>
        <item x="68"/>
        <item x="134"/>
        <item x="107"/>
        <item x="5"/>
        <item x="78"/>
        <item x="6"/>
        <item x="12"/>
        <item x="13"/>
        <item x="66"/>
        <item x="137"/>
        <item x="106"/>
        <item x="121"/>
        <item x="43"/>
        <item x="157"/>
        <item x="138"/>
        <item x="159"/>
        <item x="160"/>
        <item x="161"/>
        <item x="16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/>
    </i>
    <i>
      <x v="6"/>
    </i>
    <i>
      <x v="7"/>
    </i>
    <i>
      <x v="9"/>
    </i>
    <i>
      <x v="17"/>
    </i>
    <i>
      <x v="18"/>
    </i>
    <i>
      <x v="33"/>
    </i>
    <i>
      <x v="37"/>
    </i>
    <i>
      <x v="42"/>
    </i>
    <i>
      <x v="50"/>
    </i>
    <i>
      <x v="57"/>
    </i>
    <i>
      <x v="60"/>
    </i>
    <i>
      <x v="61"/>
    </i>
    <i>
      <x v="63"/>
    </i>
    <i>
      <x v="64"/>
    </i>
    <i>
      <x v="65"/>
    </i>
    <i>
      <x v="69"/>
    </i>
    <i>
      <x v="70"/>
    </i>
    <i>
      <x v="71"/>
    </i>
    <i>
      <x v="74"/>
    </i>
    <i t="grand">
      <x/>
    </i>
  </rowItems>
  <colItems count="1">
    <i/>
  </colItems>
  <pageFields count="1">
    <pageField fld="8" item="0" hier="-1"/>
  </pageFields>
  <dataFields count="1">
    <dataField name="Suma de MONTO INTERES " fld="11" baseField="0" baseItem="0"/>
  </dataFields>
  <formats count="4">
    <format dxfId="26">
      <pivotArea collapsedLevelsAreSubtotals="1" fieldPosition="0">
        <references count="1">
          <reference field="2" count="7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25">
      <pivotArea collapsedLevelsAreSubtotals="1" fieldPosition="0">
        <references count="1">
          <reference field="2" count="1">
            <x v="33"/>
          </reference>
        </references>
      </pivotArea>
    </format>
    <format dxfId="24">
      <pivotArea collapsedLevelsAreSubtotals="1" fieldPosition="0">
        <references count="1">
          <reference field="2" count="1">
            <x v="6"/>
          </reference>
        </references>
      </pivotArea>
    </format>
    <format dxfId="23">
      <pivotArea collapsedLevelsAreSubtotals="1" fieldPosition="0">
        <references count="1">
          <reference field="2" count="1"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:D34" firstHeaderRow="1" firstDataRow="1" firstDataCol="0"/>
  <pivotFields count="29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C12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3"/>
        <item x="0"/>
        <item x="8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Monto Interes " fld="8" baseField="0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laDinámica1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8:B24" firstHeaderRow="1" firstDataRow="1" firstDataCol="1" rowPageCount="1" colPageCount="1"/>
  <pivotFields count="29">
    <pivotField axis="axisPage" multipleItemSelectionAllowe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Suma de MONTO INTERES " fld="11" baseField="0" baseItem="0" numFmtId="4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Dinámica1" cacheId="24" applyNumberFormats="0" applyBorderFormats="0" applyFontFormats="0" applyPatternFormats="0" applyAlignmentFormats="0" applyWidthHeightFormats="1" dataCaption="Valores" missingCaption="0" updatedVersion="8" minRefreshableVersion="3" itemPrintTitles="1" mergeItem="1" createdVersion="8" indent="0" compact="0" compactData="0" multipleFieldFilters="0">
  <location ref="A3:B14" firstHeaderRow="1" firstDataRow="1" firstDataCol="1" rowPageCount="1" colPageCount="1"/>
  <pivotFields count="22">
    <pivotField name="Rut" axis="axisPage" compact="0" outline="0" multipleItemSelectionAllowed="1" showAll="0" defaultSubtotal="0">
      <items count="17">
        <item x="1"/>
        <item x="2"/>
        <item x="0"/>
        <item x="4"/>
        <item x="5"/>
        <item x="6"/>
        <item x="7"/>
        <item x="8"/>
        <item x="9"/>
        <item x="10"/>
        <item x="11"/>
        <item x="12"/>
        <item x="13"/>
        <item x="16"/>
        <item x="14"/>
        <item x="15"/>
        <item x="3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0">
        <item x="1"/>
        <item x="2"/>
        <item x="3"/>
        <item x="0"/>
        <item x="8"/>
        <item x="4"/>
        <item x="5"/>
        <item x="6"/>
        <item x="7"/>
        <item x="9"/>
      </items>
    </pivotField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0" hier="-1"/>
  </pageFields>
  <dataFields count="1">
    <dataField name="Suma de Monto Interes " fld="8" baseField="0" baseItem="0"/>
  </dataFields>
  <formats count="7">
    <format dxfId="10">
      <pivotArea grandRow="1" grandCol="1" outline="0" collapsedLevelsAreSubtotals="1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0" type="button" dataOnly="0" labelOnly="1" outline="0" axis="axisPage" fieldPosition="0"/>
    </format>
    <format dxfId="6">
      <pivotArea dataOnly="0" labelOnly="1" grandRow="1" outline="0" fieldPosition="0"/>
    </format>
    <format dxfId="5">
      <pivotArea dataOnly="0" labelOnly="1" grandCol="1" outline="0" fieldPosition="0"/>
    </format>
    <format dxfId="4">
      <pivotArea type="all" dataOnly="0" outline="0" fieldPosition="0"/>
    </format>
  </formats>
  <pivotTableStyleInfo name="PivotStyleMedium1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TablaDinámica4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54:W66" firstHeaderRow="1" firstDataRow="2" firstDataCol="1"/>
  <pivotFields count="22">
    <pivotField axis="axisCol" showAll="0">
      <items count="18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3"/>
        <item x="16"/>
        <item t="default"/>
      </items>
    </pivotField>
    <pivotField showAll="0"/>
    <pivotField showAll="0"/>
    <pivotField showAll="0"/>
    <pivotField showAll="0"/>
    <pivotField axis="axisRow" showAll="0">
      <items count="11">
        <item x="1"/>
        <item x="2"/>
        <item x="3"/>
        <item x="0"/>
        <item x="8"/>
        <item x="4"/>
        <item x="5"/>
        <item x="6"/>
        <item x="7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a de Monto Interes " fld="8" baseField="0" baseItem="0" numFmtId="4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TablaDinámica12" cacheId="24" applyNumberFormats="0" applyBorderFormats="0" applyFontFormats="0" applyPatternFormats="0" applyAlignmentFormats="0" applyWidthHeightFormats="1" dataCaption="Valores" missingCaption="0" updatedVersion="8" minRefreshableVersion="3" itemPrintTitles="1" mergeItem="1" createdVersion="8" indent="0" compact="0" compactData="0" multipleFieldFilters="0">
  <location ref="E4:F7" firstHeaderRow="1" firstDataRow="1" firstDataCol="1" rowPageCount="2" colPageCount="1"/>
  <pivotFields count="22">
    <pivotField name="Rut" axis="axisPage" compact="0" outline="0" multipleItemSelectionAllowed="1" showAll="0" defaultSubtotal="0">
      <items count="17">
        <item x="1"/>
        <item x="2"/>
        <item x="0"/>
        <item x="4"/>
        <item x="5"/>
        <item x="6"/>
        <item x="7"/>
        <item x="8"/>
        <item x="9"/>
        <item x="10"/>
        <item x="11"/>
        <item x="12"/>
        <item x="13"/>
        <item x="16"/>
        <item x="14"/>
        <item x="15"/>
        <item x="3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showAll="0" defaultSubtotal="0">
      <items count="10">
        <item x="1"/>
        <item x="2"/>
        <item x="3"/>
        <item x="0"/>
        <item x="8"/>
        <item x="4"/>
        <item x="5"/>
        <item x="6"/>
        <item x="7"/>
        <item x="9"/>
      </items>
    </pivotField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pageFields count="2">
    <pageField fld="0" hier="-1"/>
    <pageField fld="5" hier="-1"/>
  </pageFields>
  <dataFields count="1">
    <dataField name="Suma de Monto Interes " fld="8" baseField="0" baseItem="0"/>
  </dataFields>
  <formats count="7">
    <format dxfId="18">
      <pivotArea grandRow="1" grandCol="1" outline="0" collapsedLevelsAreSubtotals="1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0" type="button" dataOnly="0" labelOnly="1" outline="0" axis="axisPage" fieldPosition="0"/>
    </format>
    <format dxfId="14">
      <pivotArea dataOnly="0" labelOnly="1" grandRow="1" outline="0" fieldPosition="0"/>
    </format>
    <format dxfId="13">
      <pivotArea dataOnly="0" labelOnly="1" grandCol="1" outline="0" fieldPosition="0"/>
    </format>
    <format dxfId="12">
      <pivotArea type="all" dataOnly="0" outline="0" fieldPosition="0"/>
    </format>
  </formats>
  <pivotTableStyleInfo name="PivotStyleMedium1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TablaDiná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Q10" firstHeaderRow="1" firstDataRow="3" firstDataCol="1"/>
  <pivotFields count="29">
    <pivotField axis="axisCol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showAll="0" defaultSubtotal="0">
      <items count="15">
        <item x="9"/>
        <item x="7"/>
        <item x="14"/>
        <item x="5"/>
        <item x="8"/>
        <item x="1"/>
        <item x="3"/>
        <item x="12"/>
        <item x="11"/>
        <item x="13"/>
        <item x="10"/>
        <item x="6"/>
        <item x="4"/>
        <item x="2"/>
        <item x="0"/>
      </items>
    </pivotField>
    <pivotField showAll="0" defaultSubtotal="0"/>
    <pivotField showAll="0" defaultSubtotal="0"/>
    <pivotField showAll="0" defaultSubtotal="0"/>
    <pivotField axis="axisRow"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1"/>
  </colFields>
  <colItems count="16">
    <i>
      <x/>
      <x v="14"/>
    </i>
    <i>
      <x v="1"/>
      <x v="5"/>
    </i>
    <i>
      <x v="2"/>
      <x v="13"/>
    </i>
    <i>
      <x v="3"/>
      <x v="6"/>
    </i>
    <i>
      <x v="4"/>
      <x v="12"/>
    </i>
    <i>
      <x v="5"/>
      <x v="3"/>
    </i>
    <i>
      <x v="6"/>
      <x v="11"/>
    </i>
    <i>
      <x v="7"/>
      <x v="1"/>
    </i>
    <i>
      <x v="8"/>
      <x v="4"/>
    </i>
    <i>
      <x v="9"/>
      <x/>
    </i>
    <i>
      <x v="10"/>
      <x v="10"/>
    </i>
    <i>
      <x v="11"/>
      <x v="8"/>
    </i>
    <i>
      <x v="12"/>
      <x v="7"/>
    </i>
    <i>
      <x v="13"/>
      <x v="9"/>
    </i>
    <i>
      <x v="14"/>
      <x v="2"/>
    </i>
    <i t="grand">
      <x/>
    </i>
  </colItems>
  <dataFields count="1">
    <dataField name="Suma de MONTO INTERES " fld="11" baseField="0" baseItem="0"/>
  </dataFields>
  <formats count="3">
    <format dxfId="2">
      <pivotArea outline="0" collapsedLevelsAreSubtotals="1" fieldPosition="0">
        <references count="1">
          <reference field="0" count="14" selected="0" defaultSubtotal="1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">
      <pivotArea outline="0" collapsedLevelsAreSubtotals="1" fieldPosition="0">
        <references count="2">
          <reference field="0" count="13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1" count="13" selected="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U2:V15" totalsRowCount="1" headerRowDxfId="22" totalsRowDxfId="21">
  <autoFilter ref="U2:V14" xr:uid="{00000000-0009-0000-0100-000001000000}"/>
  <tableColumns count="2">
    <tableColumn id="1" xr3:uid="{00000000-0010-0000-0000-000001000000}" name="Institucion" totalsRowLabel="Total General" totalsRowDxfId="20"/>
    <tableColumn id="2" xr3:uid="{00000000-0010-0000-0000-000002000000}" name="Monto intereses" totalsRowFunction="custom" totalsRowDxfId="19" dataCellStyle="Moneda [0]">
      <totalsRowFormula>SUM(V3:V14)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42"/>
  <sheetViews>
    <sheetView topLeftCell="S15" zoomScale="55" zoomScaleNormal="55" workbookViewId="0">
      <selection activeCell="W50" sqref="W50"/>
    </sheetView>
  </sheetViews>
  <sheetFormatPr baseColWidth="10" defaultRowHeight="14.5" x14ac:dyDescent="0.35"/>
  <cols>
    <col min="2" max="2" width="17.1796875" bestFit="1" customWidth="1"/>
    <col min="3" max="3" width="20.54296875" bestFit="1" customWidth="1"/>
    <col min="4" max="4" width="10.453125" customWidth="1"/>
    <col min="5" max="5" width="10.54296875" bestFit="1" customWidth="1"/>
    <col min="6" max="6" width="10.453125" customWidth="1"/>
    <col min="7" max="9" width="10.54296875" bestFit="1" customWidth="1"/>
    <col min="10" max="10" width="11" bestFit="1" customWidth="1"/>
    <col min="11" max="12" width="10.81640625" bestFit="1" customWidth="1"/>
    <col min="13" max="15" width="10.81640625" customWidth="1"/>
    <col min="16" max="17" width="10.453125" customWidth="1"/>
    <col min="18" max="18" width="10.54296875" bestFit="1" customWidth="1"/>
    <col min="19" max="19" width="11.54296875" bestFit="1" customWidth="1"/>
    <col min="21" max="21" width="18.26953125" bestFit="1" customWidth="1"/>
    <col min="22" max="22" width="22.54296875" bestFit="1" customWidth="1"/>
    <col min="24" max="24" width="14.453125" bestFit="1" customWidth="1"/>
    <col min="25" max="25" width="16.1796875" bestFit="1" customWidth="1"/>
    <col min="26" max="26" width="10.54296875" bestFit="1" customWidth="1"/>
    <col min="27" max="27" width="10.453125" bestFit="1" customWidth="1"/>
    <col min="28" max="29" width="11.54296875" bestFit="1" customWidth="1"/>
    <col min="30" max="30" width="10.453125" bestFit="1" customWidth="1"/>
    <col min="32" max="33" width="10.81640625" bestFit="1" customWidth="1"/>
    <col min="34" max="34" width="11.54296875" bestFit="1" customWidth="1"/>
    <col min="35" max="35" width="11.81640625" bestFit="1" customWidth="1"/>
  </cols>
  <sheetData>
    <row r="1" spans="2:35" ht="15.75" customHeight="1" thickBot="1" x14ac:dyDescent="0.4"/>
    <row r="2" spans="2:35" x14ac:dyDescent="0.35">
      <c r="B2" s="26" t="s">
        <v>8</v>
      </c>
      <c r="C2" t="s">
        <v>9</v>
      </c>
      <c r="U2" s="58" t="s">
        <v>10</v>
      </c>
      <c r="V2" s="58" t="s">
        <v>11</v>
      </c>
      <c r="X2" s="44" t="s">
        <v>10</v>
      </c>
      <c r="Y2" s="45" t="s">
        <v>12</v>
      </c>
      <c r="Z2" s="45" t="s">
        <v>13</v>
      </c>
      <c r="AA2" s="45" t="s">
        <v>14</v>
      </c>
      <c r="AB2" s="45" t="s">
        <v>15</v>
      </c>
      <c r="AC2" s="45" t="s">
        <v>16</v>
      </c>
      <c r="AD2" s="45" t="s">
        <v>17</v>
      </c>
      <c r="AE2" s="45" t="s">
        <v>18</v>
      </c>
      <c r="AF2" s="45" t="s">
        <v>19</v>
      </c>
      <c r="AG2" s="45" t="s">
        <v>20</v>
      </c>
      <c r="AH2" s="45" t="s">
        <v>21</v>
      </c>
      <c r="AI2" s="46" t="s">
        <v>22</v>
      </c>
    </row>
    <row r="3" spans="2:35" x14ac:dyDescent="0.35">
      <c r="B3" s="4" t="s">
        <v>23</v>
      </c>
      <c r="C3" s="13">
        <v>915884</v>
      </c>
      <c r="U3" t="s">
        <v>23</v>
      </c>
      <c r="V3" s="14">
        <v>915884</v>
      </c>
      <c r="X3" s="42" t="s">
        <v>23</v>
      </c>
      <c r="Y3" s="3" t="s">
        <v>24</v>
      </c>
      <c r="Z3" s="3">
        <v>0</v>
      </c>
      <c r="AA3" s="3" t="s">
        <v>25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915884</v>
      </c>
      <c r="AI3" s="43">
        <f t="shared" ref="AI3:AI16" si="0">SUM(Y3:AH3)</f>
        <v>915884</v>
      </c>
    </row>
    <row r="4" spans="2:35" x14ac:dyDescent="0.35">
      <c r="B4" s="4" t="s">
        <v>26</v>
      </c>
      <c r="C4" s="13">
        <v>1192077</v>
      </c>
      <c r="U4" t="s">
        <v>26</v>
      </c>
      <c r="V4" s="2">
        <v>1192077</v>
      </c>
      <c r="X4" s="42" t="s">
        <v>26</v>
      </c>
      <c r="Y4" s="3"/>
      <c r="Z4" s="3"/>
      <c r="AA4" s="3"/>
      <c r="AB4" s="3"/>
      <c r="AC4" s="3"/>
      <c r="AD4" s="3"/>
      <c r="AE4" s="3"/>
      <c r="AF4" s="3">
        <v>1192077</v>
      </c>
      <c r="AG4" s="3"/>
      <c r="AH4" s="3"/>
      <c r="AI4" s="43">
        <f t="shared" si="0"/>
        <v>1192077</v>
      </c>
    </row>
    <row r="5" spans="2:35" x14ac:dyDescent="0.35">
      <c r="B5" s="4" t="s">
        <v>27</v>
      </c>
      <c r="C5" s="13"/>
      <c r="U5" t="s">
        <v>27</v>
      </c>
      <c r="V5" s="2">
        <v>0</v>
      </c>
      <c r="X5" s="42" t="s">
        <v>27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43">
        <f t="shared" si="0"/>
        <v>0</v>
      </c>
    </row>
    <row r="6" spans="2:35" x14ac:dyDescent="0.35">
      <c r="B6" s="4" t="s">
        <v>28</v>
      </c>
      <c r="C6" s="13">
        <v>13453323</v>
      </c>
      <c r="U6" t="s">
        <v>28</v>
      </c>
      <c r="V6" s="2">
        <v>13453323</v>
      </c>
      <c r="X6" s="42" t="s">
        <v>28</v>
      </c>
      <c r="Y6" s="3"/>
      <c r="Z6" s="3">
        <v>62571</v>
      </c>
      <c r="AA6" s="3"/>
      <c r="AB6" s="3">
        <v>8033657</v>
      </c>
      <c r="AC6" s="3">
        <v>3105729</v>
      </c>
      <c r="AD6" s="3">
        <v>47113</v>
      </c>
      <c r="AE6" s="3"/>
      <c r="AF6" s="3">
        <v>1646479</v>
      </c>
      <c r="AG6" s="3"/>
      <c r="AH6" s="3">
        <v>557774</v>
      </c>
      <c r="AI6" s="43">
        <f t="shared" si="0"/>
        <v>13453323</v>
      </c>
    </row>
    <row r="7" spans="2:35" x14ac:dyDescent="0.35">
      <c r="B7" s="4" t="s">
        <v>29</v>
      </c>
      <c r="C7" s="13">
        <v>1913956</v>
      </c>
      <c r="U7" t="s">
        <v>29</v>
      </c>
      <c r="V7" s="2">
        <v>1913956</v>
      </c>
      <c r="X7" s="42" t="s">
        <v>29</v>
      </c>
      <c r="Y7" s="3"/>
      <c r="Z7" s="3"/>
      <c r="AA7" s="3"/>
      <c r="AB7" s="3"/>
      <c r="AC7" s="3"/>
      <c r="AD7" s="3"/>
      <c r="AE7" s="3"/>
      <c r="AF7" s="3">
        <v>944692</v>
      </c>
      <c r="AG7" s="3"/>
      <c r="AH7" s="3">
        <v>969264</v>
      </c>
      <c r="AI7" s="43">
        <f t="shared" si="0"/>
        <v>1913956</v>
      </c>
    </row>
    <row r="8" spans="2:35" x14ac:dyDescent="0.35">
      <c r="B8" s="4" t="s">
        <v>30</v>
      </c>
      <c r="C8" s="13"/>
      <c r="U8" t="s">
        <v>31</v>
      </c>
      <c r="V8" s="2">
        <v>2705416</v>
      </c>
      <c r="X8" s="42" t="s">
        <v>30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43">
        <f t="shared" si="0"/>
        <v>0</v>
      </c>
    </row>
    <row r="9" spans="2:35" x14ac:dyDescent="0.35">
      <c r="B9" s="4" t="s">
        <v>31</v>
      </c>
      <c r="C9" s="13">
        <v>2705416</v>
      </c>
      <c r="U9" t="s">
        <v>32</v>
      </c>
      <c r="V9" s="2">
        <v>267548</v>
      </c>
      <c r="X9" s="42" t="s">
        <v>31</v>
      </c>
      <c r="Y9" s="3"/>
      <c r="Z9" s="3"/>
      <c r="AA9" s="3"/>
      <c r="AB9" s="3"/>
      <c r="AC9" s="3">
        <v>107709</v>
      </c>
      <c r="AD9" s="3"/>
      <c r="AE9" s="3">
        <v>145806</v>
      </c>
      <c r="AF9" s="3">
        <v>245827</v>
      </c>
      <c r="AG9" s="3">
        <v>518706</v>
      </c>
      <c r="AH9" s="3">
        <v>1687368</v>
      </c>
      <c r="AI9" s="43">
        <f t="shared" si="0"/>
        <v>2705416</v>
      </c>
    </row>
    <row r="10" spans="2:35" x14ac:dyDescent="0.35">
      <c r="B10" s="4" t="s">
        <v>32</v>
      </c>
      <c r="C10" s="13">
        <v>267548</v>
      </c>
      <c r="U10" t="s">
        <v>33</v>
      </c>
      <c r="V10" s="2">
        <v>0</v>
      </c>
      <c r="X10" s="42" t="s">
        <v>32</v>
      </c>
      <c r="Y10" s="3"/>
      <c r="Z10" s="3"/>
      <c r="AA10" s="3"/>
      <c r="AB10" s="3"/>
      <c r="AC10" s="3"/>
      <c r="AD10" s="3"/>
      <c r="AE10" s="3"/>
      <c r="AF10" s="3">
        <v>85195</v>
      </c>
      <c r="AG10" s="3"/>
      <c r="AH10" s="3">
        <v>182353</v>
      </c>
      <c r="AI10" s="43">
        <f t="shared" si="0"/>
        <v>267548</v>
      </c>
    </row>
    <row r="11" spans="2:35" x14ac:dyDescent="0.35">
      <c r="B11" s="4" t="s">
        <v>33</v>
      </c>
      <c r="C11" s="13"/>
      <c r="U11" t="s">
        <v>34</v>
      </c>
      <c r="V11" s="2">
        <v>57513140</v>
      </c>
      <c r="X11" s="42" t="s">
        <v>33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43">
        <f t="shared" si="0"/>
        <v>0</v>
      </c>
    </row>
    <row r="12" spans="2:35" x14ac:dyDescent="0.35">
      <c r="B12" s="4" t="s">
        <v>35</v>
      </c>
      <c r="C12" s="13">
        <v>20448204</v>
      </c>
      <c r="U12" t="s">
        <v>7</v>
      </c>
      <c r="V12" s="2">
        <v>764833</v>
      </c>
      <c r="X12" s="42" t="s">
        <v>34</v>
      </c>
      <c r="Y12" s="3">
        <v>20027437</v>
      </c>
      <c r="Z12" s="3">
        <v>4483721</v>
      </c>
      <c r="AA12" s="3">
        <v>143463</v>
      </c>
      <c r="AB12" s="3">
        <v>6605387</v>
      </c>
      <c r="AC12" s="3">
        <v>13761543</v>
      </c>
      <c r="AD12" s="3">
        <v>50369</v>
      </c>
      <c r="AE12" s="3">
        <v>325401</v>
      </c>
      <c r="AF12" s="3">
        <v>4054942</v>
      </c>
      <c r="AG12" s="3"/>
      <c r="AH12" s="3">
        <v>8060877</v>
      </c>
      <c r="AI12" s="43">
        <f t="shared" si="0"/>
        <v>57513140</v>
      </c>
    </row>
    <row r="13" spans="2:35" x14ac:dyDescent="0.35">
      <c r="U13" t="s">
        <v>6</v>
      </c>
      <c r="V13" s="2">
        <v>1611977</v>
      </c>
      <c r="X13" s="42" t="s">
        <v>7</v>
      </c>
      <c r="Y13" s="3">
        <v>378263</v>
      </c>
      <c r="Z13" s="3"/>
      <c r="AA13" s="3"/>
      <c r="AB13" s="3"/>
      <c r="AC13" s="3">
        <v>80204</v>
      </c>
      <c r="AD13" s="3"/>
      <c r="AE13" s="3">
        <v>21008</v>
      </c>
      <c r="AF13" s="3">
        <v>184056</v>
      </c>
      <c r="AG13" s="3"/>
      <c r="AH13" s="3">
        <v>101302</v>
      </c>
      <c r="AI13" s="43">
        <f t="shared" si="0"/>
        <v>764833</v>
      </c>
    </row>
    <row r="14" spans="2:35" x14ac:dyDescent="0.35">
      <c r="U14" t="s">
        <v>36</v>
      </c>
      <c r="V14" s="2">
        <v>748671</v>
      </c>
      <c r="X14" s="42" t="s">
        <v>6</v>
      </c>
      <c r="Y14" s="3"/>
      <c r="Z14" s="3"/>
      <c r="AA14" s="3"/>
      <c r="AB14" s="3"/>
      <c r="AC14" s="3">
        <v>210231</v>
      </c>
      <c r="AD14" s="3"/>
      <c r="AE14" s="3"/>
      <c r="AF14" s="3"/>
      <c r="AG14" s="3">
        <v>683030</v>
      </c>
      <c r="AH14" s="3">
        <v>718716</v>
      </c>
      <c r="AI14" s="43">
        <f t="shared" si="0"/>
        <v>1611977</v>
      </c>
    </row>
    <row r="15" spans="2:35" x14ac:dyDescent="0.35">
      <c r="U15" s="56" t="s">
        <v>22</v>
      </c>
      <c r="V15" s="57">
        <f>SUM(V3:V14)</f>
        <v>81086825</v>
      </c>
      <c r="X15" s="42" t="s">
        <v>36</v>
      </c>
      <c r="Y15" s="3"/>
      <c r="Z15" s="3"/>
      <c r="AA15" s="3"/>
      <c r="AB15" s="3"/>
      <c r="AC15" s="3"/>
      <c r="AD15" s="3"/>
      <c r="AE15" s="3">
        <v>252340</v>
      </c>
      <c r="AF15" s="3"/>
      <c r="AG15" s="3"/>
      <c r="AH15" s="3">
        <v>496331</v>
      </c>
      <c r="AI15" s="43">
        <f t="shared" si="0"/>
        <v>748671</v>
      </c>
    </row>
    <row r="16" spans="2:35" ht="15.75" customHeight="1" thickBot="1" x14ac:dyDescent="0.4">
      <c r="X16" s="47" t="s">
        <v>22</v>
      </c>
      <c r="Y16" s="48">
        <f t="shared" ref="Y16:AH16" si="1">SUM(Y3:Y15)</f>
        <v>20405700</v>
      </c>
      <c r="Z16" s="48">
        <f t="shared" si="1"/>
        <v>4546292</v>
      </c>
      <c r="AA16" s="48">
        <f t="shared" si="1"/>
        <v>143463</v>
      </c>
      <c r="AB16" s="48">
        <f t="shared" si="1"/>
        <v>14639044</v>
      </c>
      <c r="AC16" s="48">
        <f t="shared" si="1"/>
        <v>17265416</v>
      </c>
      <c r="AD16" s="48">
        <f t="shared" si="1"/>
        <v>97482</v>
      </c>
      <c r="AE16" s="48">
        <f t="shared" si="1"/>
        <v>744555</v>
      </c>
      <c r="AF16" s="48">
        <f t="shared" si="1"/>
        <v>8353268</v>
      </c>
      <c r="AG16" s="48">
        <f t="shared" si="1"/>
        <v>1201736</v>
      </c>
      <c r="AH16" s="48">
        <f t="shared" si="1"/>
        <v>13689869</v>
      </c>
      <c r="AI16" s="49">
        <f t="shared" si="0"/>
        <v>81086825</v>
      </c>
    </row>
    <row r="17" spans="2:25" x14ac:dyDescent="0.35">
      <c r="B17" s="33"/>
      <c r="C17" s="34"/>
      <c r="D17" s="35"/>
    </row>
    <row r="18" spans="2:25" x14ac:dyDescent="0.35">
      <c r="B18" s="36"/>
      <c r="C18" s="37"/>
      <c r="D18" s="38"/>
    </row>
    <row r="19" spans="2:25" ht="15.75" customHeight="1" thickBot="1" x14ac:dyDescent="0.4">
      <c r="B19" s="36"/>
      <c r="C19" s="37"/>
      <c r="D19" s="38"/>
      <c r="U19" s="26" t="s">
        <v>2</v>
      </c>
      <c r="V19" s="4">
        <v>0</v>
      </c>
    </row>
    <row r="20" spans="2:25" ht="15.75" customHeight="1" x14ac:dyDescent="0.4">
      <c r="B20" s="36"/>
      <c r="C20" s="37"/>
      <c r="D20" s="38"/>
      <c r="X20" s="59" t="s">
        <v>10</v>
      </c>
      <c r="Y20" s="60" t="s">
        <v>11</v>
      </c>
    </row>
    <row r="21" spans="2:25" ht="15.75" customHeight="1" x14ac:dyDescent="0.4">
      <c r="B21" s="36"/>
      <c r="C21" s="37"/>
      <c r="D21" s="38"/>
      <c r="U21" s="26" t="s">
        <v>8</v>
      </c>
      <c r="V21" t="s">
        <v>37</v>
      </c>
      <c r="X21" s="61" t="s">
        <v>23</v>
      </c>
      <c r="Y21" s="62">
        <v>915884</v>
      </c>
    </row>
    <row r="22" spans="2:25" ht="15.75" customHeight="1" x14ac:dyDescent="0.4">
      <c r="B22" s="36"/>
      <c r="C22" s="37"/>
      <c r="D22" s="38"/>
      <c r="U22" s="4" t="s">
        <v>38</v>
      </c>
      <c r="V22" s="13">
        <v>654828</v>
      </c>
      <c r="X22" s="61" t="s">
        <v>26</v>
      </c>
      <c r="Y22" s="62">
        <v>1192077</v>
      </c>
    </row>
    <row r="23" spans="2:25" ht="15.75" customHeight="1" x14ac:dyDescent="0.4">
      <c r="B23" s="36"/>
      <c r="C23" s="37"/>
      <c r="D23" s="38"/>
      <c r="U23" s="4" t="s">
        <v>39</v>
      </c>
      <c r="V23" s="55">
        <v>5980554</v>
      </c>
      <c r="X23" s="61" t="s">
        <v>27</v>
      </c>
      <c r="Y23" s="62">
        <v>0</v>
      </c>
    </row>
    <row r="24" spans="2:25" ht="15.75" customHeight="1" x14ac:dyDescent="0.4">
      <c r="B24" s="36"/>
      <c r="C24" s="37"/>
      <c r="D24" s="38"/>
      <c r="U24" s="4" t="s">
        <v>40</v>
      </c>
      <c r="V24" s="13">
        <v>2555991</v>
      </c>
      <c r="X24" s="61" t="s">
        <v>28</v>
      </c>
      <c r="Y24" s="62">
        <v>13453323</v>
      </c>
    </row>
    <row r="25" spans="2:25" ht="15.75" customHeight="1" x14ac:dyDescent="0.4">
      <c r="B25" s="36"/>
      <c r="C25" s="37"/>
      <c r="D25" s="38"/>
      <c r="U25" s="4" t="s">
        <v>41</v>
      </c>
      <c r="V25" s="13">
        <v>193117</v>
      </c>
      <c r="X25" s="61" t="s">
        <v>29</v>
      </c>
      <c r="Y25" s="62">
        <v>1913956</v>
      </c>
    </row>
    <row r="26" spans="2:25" ht="15.75" customHeight="1" x14ac:dyDescent="0.4">
      <c r="B26" s="36"/>
      <c r="C26" s="37"/>
      <c r="D26" s="38"/>
      <c r="U26" s="4" t="s">
        <v>42</v>
      </c>
      <c r="V26" s="13">
        <v>2213088</v>
      </c>
      <c r="X26" s="61" t="s">
        <v>31</v>
      </c>
      <c r="Y26" s="62">
        <v>2705416</v>
      </c>
    </row>
    <row r="27" spans="2:25" ht="15.75" customHeight="1" x14ac:dyDescent="0.4">
      <c r="B27" s="36"/>
      <c r="C27" s="37"/>
      <c r="D27" s="38"/>
      <c r="U27" s="4" t="s">
        <v>43</v>
      </c>
      <c r="V27" s="13">
        <v>376083</v>
      </c>
      <c r="X27" s="61" t="s">
        <v>32</v>
      </c>
      <c r="Y27" s="62">
        <v>267548</v>
      </c>
    </row>
    <row r="28" spans="2:25" ht="15.75" customHeight="1" x14ac:dyDescent="0.4">
      <c r="B28" s="36"/>
      <c r="C28" s="37"/>
      <c r="D28" s="38"/>
      <c r="U28" s="4" t="s">
        <v>44</v>
      </c>
      <c r="V28" s="55">
        <v>12245322</v>
      </c>
      <c r="X28" s="61" t="s">
        <v>33</v>
      </c>
      <c r="Y28" s="62">
        <v>0</v>
      </c>
    </row>
    <row r="29" spans="2:25" ht="15.75" customHeight="1" x14ac:dyDescent="0.4">
      <c r="B29" s="36"/>
      <c r="C29" s="37"/>
      <c r="D29" s="38"/>
      <c r="U29" s="4" t="s">
        <v>45</v>
      </c>
      <c r="V29" s="13">
        <v>862460</v>
      </c>
      <c r="X29" s="61" t="s">
        <v>34</v>
      </c>
      <c r="Y29" s="62">
        <v>57513140</v>
      </c>
    </row>
    <row r="30" spans="2:25" ht="15.75" customHeight="1" x14ac:dyDescent="0.4">
      <c r="B30" s="36"/>
      <c r="C30" s="37"/>
      <c r="D30" s="38"/>
      <c r="U30" s="4" t="s">
        <v>46</v>
      </c>
      <c r="V30" s="13">
        <v>341561</v>
      </c>
      <c r="X30" s="61" t="s">
        <v>7</v>
      </c>
      <c r="Y30" s="62">
        <v>764833</v>
      </c>
    </row>
    <row r="31" spans="2:25" ht="15.75" customHeight="1" x14ac:dyDescent="0.4">
      <c r="B31" s="36"/>
      <c r="C31" s="37"/>
      <c r="D31" s="38"/>
      <c r="U31" s="4" t="s">
        <v>47</v>
      </c>
      <c r="V31" s="55">
        <v>4722141</v>
      </c>
      <c r="X31" s="61" t="s">
        <v>6</v>
      </c>
      <c r="Y31" s="62">
        <v>1611977</v>
      </c>
    </row>
    <row r="32" spans="2:25" ht="15.75" customHeight="1" x14ac:dyDescent="0.4">
      <c r="B32" s="36"/>
      <c r="C32" s="37"/>
      <c r="D32" s="38"/>
      <c r="U32" s="4" t="s">
        <v>48</v>
      </c>
      <c r="V32" s="13">
        <v>272203</v>
      </c>
      <c r="X32" s="61" t="s">
        <v>36</v>
      </c>
      <c r="Y32" s="62">
        <v>748671</v>
      </c>
    </row>
    <row r="33" spans="2:25" ht="16.5" customHeight="1" thickBot="1" x14ac:dyDescent="0.45">
      <c r="B33" s="36"/>
      <c r="C33" s="37"/>
      <c r="D33" s="38"/>
      <c r="U33" s="4" t="s">
        <v>49</v>
      </c>
      <c r="V33" s="13">
        <v>2040973</v>
      </c>
      <c r="X33" s="63" t="s">
        <v>22</v>
      </c>
      <c r="Y33" s="64">
        <v>81086825</v>
      </c>
    </row>
    <row r="34" spans="2:25" x14ac:dyDescent="0.35">
      <c r="B34" s="39"/>
      <c r="C34" s="40"/>
      <c r="D34" s="41"/>
      <c r="U34" s="4" t="s">
        <v>50</v>
      </c>
      <c r="V34" s="13">
        <v>610464</v>
      </c>
    </row>
    <row r="35" spans="2:25" x14ac:dyDescent="0.35">
      <c r="U35" s="4" t="s">
        <v>51</v>
      </c>
      <c r="V35" s="13">
        <v>130120</v>
      </c>
    </row>
    <row r="36" spans="2:25" x14ac:dyDescent="0.35">
      <c r="U36" s="4" t="s">
        <v>52</v>
      </c>
      <c r="V36" s="13">
        <v>708333</v>
      </c>
    </row>
    <row r="37" spans="2:25" x14ac:dyDescent="0.35">
      <c r="U37" s="4" t="s">
        <v>53</v>
      </c>
      <c r="V37" s="13">
        <v>1057309</v>
      </c>
    </row>
    <row r="38" spans="2:25" x14ac:dyDescent="0.35">
      <c r="U38" s="4" t="s">
        <v>54</v>
      </c>
      <c r="V38" s="13">
        <v>257290</v>
      </c>
      <c r="Y38" s="55">
        <v>4722141</v>
      </c>
    </row>
    <row r="39" spans="2:25" x14ac:dyDescent="0.35">
      <c r="U39" s="4" t="s">
        <v>55</v>
      </c>
      <c r="V39" s="13">
        <v>564200</v>
      </c>
    </row>
    <row r="40" spans="2:25" x14ac:dyDescent="0.35">
      <c r="U40" s="4" t="s">
        <v>56</v>
      </c>
      <c r="V40" s="13">
        <v>30927</v>
      </c>
      <c r="Y40" s="55">
        <v>12245322</v>
      </c>
    </row>
    <row r="41" spans="2:25" x14ac:dyDescent="0.35">
      <c r="U41" s="4" t="s">
        <v>57</v>
      </c>
      <c r="V41" s="13">
        <v>2768925</v>
      </c>
    </row>
    <row r="42" spans="2:25" x14ac:dyDescent="0.35">
      <c r="U42" s="4" t="s">
        <v>35</v>
      </c>
      <c r="V42">
        <v>38585889</v>
      </c>
    </row>
  </sheetData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8"/>
  <sheetViews>
    <sheetView topLeftCell="B1" zoomScale="85" zoomScaleNormal="85" workbookViewId="0">
      <selection activeCell="B5" sqref="B5"/>
    </sheetView>
  </sheetViews>
  <sheetFormatPr baseColWidth="10" defaultRowHeight="14.5" x14ac:dyDescent="0.35"/>
  <cols>
    <col min="2" max="2" width="16.54296875" bestFit="1" customWidth="1"/>
    <col min="3" max="11" width="11.81640625" customWidth="1"/>
    <col min="12" max="12" width="10.81640625" bestFit="1" customWidth="1"/>
    <col min="13" max="16" width="13.54296875" customWidth="1"/>
    <col min="17" max="17" width="10.7265625" bestFit="1" customWidth="1"/>
    <col min="18" max="18" width="13.453125" bestFit="1" customWidth="1"/>
    <col min="19" max="19" width="10.26953125" bestFit="1" customWidth="1"/>
    <col min="20" max="20" width="11.453125" bestFit="1" customWidth="1"/>
  </cols>
  <sheetData>
    <row r="1" spans="2:16" ht="15.75" customHeight="1" thickBot="1" x14ac:dyDescent="0.4"/>
    <row r="2" spans="2:16" x14ac:dyDescent="0.35">
      <c r="B2" s="18" t="s">
        <v>58</v>
      </c>
      <c r="C2" s="19" t="s">
        <v>23</v>
      </c>
      <c r="D2" s="19" t="s">
        <v>26</v>
      </c>
      <c r="E2" s="19" t="s">
        <v>27</v>
      </c>
      <c r="F2" s="19" t="s">
        <v>28</v>
      </c>
      <c r="G2" s="19" t="s">
        <v>30</v>
      </c>
      <c r="H2" s="19" t="s">
        <v>31</v>
      </c>
      <c r="I2" s="19" t="s">
        <v>32</v>
      </c>
      <c r="J2" s="5" t="s">
        <v>33</v>
      </c>
      <c r="L2" s="18" t="s">
        <v>58</v>
      </c>
      <c r="M2" s="19" t="s">
        <v>34</v>
      </c>
      <c r="N2" s="19" t="s">
        <v>7</v>
      </c>
      <c r="O2" s="19" t="s">
        <v>6</v>
      </c>
      <c r="P2" s="5" t="s">
        <v>36</v>
      </c>
    </row>
    <row r="3" spans="2:16" x14ac:dyDescent="0.35">
      <c r="B3" s="20" t="s">
        <v>59</v>
      </c>
      <c r="C3" s="1" t="s">
        <v>25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0</v>
      </c>
      <c r="J3" s="21" t="b">
        <v>1</v>
      </c>
      <c r="L3" s="20" t="s">
        <v>59</v>
      </c>
      <c r="M3" s="21" t="b">
        <v>0</v>
      </c>
      <c r="N3" s="21" t="b">
        <v>0</v>
      </c>
      <c r="O3" s="21" t="b">
        <v>1</v>
      </c>
      <c r="P3" s="21" t="b">
        <v>1</v>
      </c>
    </row>
    <row r="4" spans="2:16" x14ac:dyDescent="0.35">
      <c r="B4" s="20" t="s">
        <v>12</v>
      </c>
      <c r="C4" s="1" t="s">
        <v>25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21" t="b">
        <v>1</v>
      </c>
      <c r="L4" s="20" t="s">
        <v>12</v>
      </c>
      <c r="M4" s="21" t="b">
        <v>1</v>
      </c>
      <c r="N4" s="21" t="b">
        <v>1</v>
      </c>
      <c r="O4" s="21" t="b">
        <v>1</v>
      </c>
      <c r="P4" s="21" t="b">
        <v>1</v>
      </c>
    </row>
    <row r="5" spans="2:16" x14ac:dyDescent="0.35">
      <c r="B5" s="20" t="s">
        <v>13</v>
      </c>
      <c r="C5" s="1" t="b">
        <v>1</v>
      </c>
      <c r="D5" s="1" t="b">
        <v>1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21" t="b">
        <v>1</v>
      </c>
      <c r="L5" s="20" t="s">
        <v>13</v>
      </c>
      <c r="M5" s="21" t="b">
        <v>1</v>
      </c>
      <c r="N5" s="21" t="b">
        <v>1</v>
      </c>
      <c r="O5" s="21" t="b">
        <v>1</v>
      </c>
      <c r="P5" s="21" t="b">
        <v>1</v>
      </c>
    </row>
    <row r="6" spans="2:16" x14ac:dyDescent="0.35">
      <c r="B6" s="20" t="s">
        <v>14</v>
      </c>
      <c r="C6" s="1" t="s">
        <v>25</v>
      </c>
      <c r="D6" s="1" t="b">
        <v>0</v>
      </c>
      <c r="E6" s="1" t="b">
        <v>1</v>
      </c>
      <c r="F6" s="1" t="b">
        <v>1</v>
      </c>
      <c r="G6" s="1" t="b">
        <v>0</v>
      </c>
      <c r="H6" s="1" t="b">
        <v>0</v>
      </c>
      <c r="I6" s="1" t="b">
        <v>0</v>
      </c>
      <c r="J6" s="21" t="b">
        <v>0</v>
      </c>
      <c r="L6" s="20" t="s">
        <v>14</v>
      </c>
      <c r="M6" s="21" t="b">
        <v>1</v>
      </c>
      <c r="N6" s="21" t="b">
        <v>0</v>
      </c>
      <c r="O6" s="21" t="b">
        <v>1</v>
      </c>
      <c r="P6" s="21" t="b">
        <v>1</v>
      </c>
    </row>
    <row r="7" spans="2:16" x14ac:dyDescent="0.35">
      <c r="B7" s="20" t="s">
        <v>15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21" t="b">
        <v>0</v>
      </c>
      <c r="L7" s="20" t="s">
        <v>15</v>
      </c>
      <c r="M7" s="21" t="b">
        <v>1</v>
      </c>
      <c r="N7" s="21" t="b">
        <v>1</v>
      </c>
      <c r="O7" s="21" t="b">
        <v>1</v>
      </c>
      <c r="P7" s="21" t="b">
        <v>1</v>
      </c>
    </row>
    <row r="8" spans="2:16" x14ac:dyDescent="0.35">
      <c r="B8" s="20" t="s">
        <v>16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  <c r="J8" s="21" t="b">
        <v>1</v>
      </c>
      <c r="L8" s="20" t="s">
        <v>16</v>
      </c>
      <c r="M8" s="21" t="b">
        <v>1</v>
      </c>
      <c r="N8" s="21" t="b">
        <v>1</v>
      </c>
      <c r="O8" s="21" t="b">
        <v>1</v>
      </c>
      <c r="P8" s="21" t="b">
        <v>1</v>
      </c>
    </row>
    <row r="9" spans="2:16" x14ac:dyDescent="0.35">
      <c r="B9" s="20" t="s">
        <v>17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1</v>
      </c>
      <c r="J9" s="21" t="b">
        <v>0</v>
      </c>
      <c r="L9" s="20" t="s">
        <v>17</v>
      </c>
      <c r="M9" s="21" t="b">
        <v>1</v>
      </c>
      <c r="N9" s="21" t="b">
        <v>1</v>
      </c>
      <c r="O9" s="21" t="b">
        <v>1</v>
      </c>
      <c r="P9" s="21" t="b">
        <v>1</v>
      </c>
    </row>
    <row r="10" spans="2:16" x14ac:dyDescent="0.35">
      <c r="B10" s="20" t="s">
        <v>18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21" t="b">
        <v>1</v>
      </c>
      <c r="L10" s="20" t="s">
        <v>18</v>
      </c>
      <c r="M10" s="21" t="b">
        <v>1</v>
      </c>
      <c r="N10" s="21" t="b">
        <v>1</v>
      </c>
      <c r="O10" s="21" t="b">
        <v>1</v>
      </c>
      <c r="P10" s="21" t="b">
        <v>1</v>
      </c>
    </row>
    <row r="11" spans="2:16" x14ac:dyDescent="0.35">
      <c r="B11" s="20" t="s">
        <v>19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1</v>
      </c>
      <c r="J11" s="21" t="b">
        <v>1</v>
      </c>
      <c r="L11" s="20" t="s">
        <v>19</v>
      </c>
      <c r="M11" s="21" t="b">
        <v>1</v>
      </c>
      <c r="N11" s="21" t="b">
        <v>1</v>
      </c>
      <c r="O11" s="21" t="b">
        <v>1</v>
      </c>
      <c r="P11" s="21" t="b">
        <v>1</v>
      </c>
    </row>
    <row r="12" spans="2:16" x14ac:dyDescent="0.35">
      <c r="B12" s="20" t="s">
        <v>20</v>
      </c>
      <c r="C12" s="1" t="b">
        <v>1</v>
      </c>
      <c r="D12" s="1" t="b">
        <v>1</v>
      </c>
      <c r="E12" s="1" t="b">
        <v>1</v>
      </c>
      <c r="F12" s="1" t="b">
        <v>1</v>
      </c>
      <c r="G12" s="1" t="b">
        <v>1</v>
      </c>
      <c r="H12" s="1" t="b">
        <v>1</v>
      </c>
      <c r="I12" s="1" t="b">
        <v>1</v>
      </c>
      <c r="J12" s="21" t="b">
        <v>1</v>
      </c>
      <c r="L12" s="20" t="s">
        <v>20</v>
      </c>
      <c r="M12" s="21" t="b">
        <v>0</v>
      </c>
      <c r="N12" s="21" t="b">
        <v>1</v>
      </c>
      <c r="O12" s="21" t="b">
        <v>1</v>
      </c>
      <c r="P12" s="21" t="b">
        <v>1</v>
      </c>
    </row>
    <row r="13" spans="2:16" x14ac:dyDescent="0.35">
      <c r="B13" s="20" t="s">
        <v>60</v>
      </c>
      <c r="C13" s="1" t="s">
        <v>25</v>
      </c>
      <c r="D13" s="1" t="b">
        <v>1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21" t="b">
        <v>0</v>
      </c>
      <c r="L13" s="20" t="s">
        <v>60</v>
      </c>
      <c r="M13" s="21" t="b">
        <v>0</v>
      </c>
      <c r="N13" s="21" t="b">
        <v>1</v>
      </c>
      <c r="O13" s="21" t="b">
        <v>1</v>
      </c>
      <c r="P13" s="21" t="b">
        <v>1</v>
      </c>
    </row>
    <row r="14" spans="2:16" x14ac:dyDescent="0.35">
      <c r="B14" s="20" t="s">
        <v>61</v>
      </c>
      <c r="C14" s="1" t="b">
        <v>1</v>
      </c>
      <c r="D14" s="31" t="s">
        <v>62</v>
      </c>
      <c r="E14" s="1" t="b">
        <v>1</v>
      </c>
      <c r="F14" s="31" t="s">
        <v>62</v>
      </c>
      <c r="G14" s="31" t="s">
        <v>63</v>
      </c>
      <c r="H14" s="1" t="b">
        <v>1</v>
      </c>
      <c r="I14" s="31" t="s">
        <v>63</v>
      </c>
      <c r="J14" s="31" t="s">
        <v>62</v>
      </c>
      <c r="L14" s="20" t="s">
        <v>61</v>
      </c>
      <c r="M14" s="21" t="b">
        <v>0</v>
      </c>
      <c r="N14" s="31" t="s">
        <v>62</v>
      </c>
      <c r="O14" s="21" t="b">
        <v>1</v>
      </c>
      <c r="P14" s="21" t="b">
        <v>1</v>
      </c>
    </row>
    <row r="15" spans="2:16" x14ac:dyDescent="0.35">
      <c r="B15" s="20" t="s">
        <v>64</v>
      </c>
      <c r="C15" s="1" t="b">
        <v>1</v>
      </c>
      <c r="D15" s="31" t="s">
        <v>62</v>
      </c>
      <c r="E15" s="1" t="b">
        <v>1</v>
      </c>
      <c r="F15" s="1" t="b">
        <v>1</v>
      </c>
      <c r="G15" s="31" t="s">
        <v>63</v>
      </c>
      <c r="H15" s="1" t="b">
        <v>0</v>
      </c>
      <c r="I15" s="31" t="s">
        <v>63</v>
      </c>
      <c r="J15" s="31" t="s">
        <v>62</v>
      </c>
      <c r="L15" s="20" t="s">
        <v>64</v>
      </c>
      <c r="M15" s="21" t="b">
        <v>0</v>
      </c>
      <c r="N15" s="31" t="s">
        <v>62</v>
      </c>
      <c r="O15" s="21" t="b">
        <v>1</v>
      </c>
      <c r="P15" s="21" t="b">
        <v>1</v>
      </c>
    </row>
    <row r="16" spans="2:16" x14ac:dyDescent="0.35">
      <c r="B16" s="20" t="s">
        <v>65</v>
      </c>
      <c r="C16" s="1" t="s">
        <v>66</v>
      </c>
      <c r="D16" s="1" t="s">
        <v>66</v>
      </c>
      <c r="E16" s="1" t="s">
        <v>66</v>
      </c>
      <c r="F16" s="1" t="s">
        <v>66</v>
      </c>
      <c r="G16" s="1" t="b">
        <v>1</v>
      </c>
      <c r="H16" s="1" t="s">
        <v>66</v>
      </c>
      <c r="I16" s="1" t="s">
        <v>66</v>
      </c>
      <c r="J16" s="1" t="s">
        <v>66</v>
      </c>
      <c r="L16" s="20" t="s">
        <v>65</v>
      </c>
      <c r="M16" s="21" t="b">
        <v>0</v>
      </c>
      <c r="N16" s="21" t="b">
        <v>0</v>
      </c>
      <c r="O16" s="21" t="b">
        <v>0</v>
      </c>
      <c r="P16" s="21" t="b">
        <v>0</v>
      </c>
    </row>
    <row r="17" spans="2:16" x14ac:dyDescent="0.35">
      <c r="B17" s="20" t="s">
        <v>67</v>
      </c>
      <c r="C17" s="1" t="s">
        <v>25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0</v>
      </c>
      <c r="I17" s="1" t="b">
        <v>1</v>
      </c>
      <c r="J17" s="21" t="b">
        <v>1</v>
      </c>
      <c r="L17" s="20" t="s">
        <v>67</v>
      </c>
      <c r="M17" s="21" t="b">
        <v>0</v>
      </c>
      <c r="N17" s="21" t="b">
        <v>1</v>
      </c>
      <c r="O17" s="21" t="b">
        <v>1</v>
      </c>
      <c r="P17" s="21" t="b">
        <v>1</v>
      </c>
    </row>
    <row r="18" spans="2:16" ht="15.75" customHeight="1" thickBot="1" x14ac:dyDescent="0.4">
      <c r="B18" s="22" t="s">
        <v>21</v>
      </c>
      <c r="C18" s="23" t="b">
        <v>1</v>
      </c>
      <c r="D18" s="23" t="b">
        <v>1</v>
      </c>
      <c r="E18" s="23" t="b">
        <v>1</v>
      </c>
      <c r="F18" s="23" t="b">
        <v>1</v>
      </c>
      <c r="G18" s="23" t="b">
        <v>1</v>
      </c>
      <c r="H18" s="23" t="b">
        <v>1</v>
      </c>
      <c r="I18" s="23" t="b">
        <v>1</v>
      </c>
      <c r="J18" s="24" t="b">
        <v>1</v>
      </c>
      <c r="L18" s="22" t="s">
        <v>21</v>
      </c>
      <c r="M18" s="21" t="b">
        <v>1</v>
      </c>
      <c r="N18" s="21" t="b">
        <v>1</v>
      </c>
      <c r="O18" s="21" t="b">
        <v>1</v>
      </c>
      <c r="P18" s="2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6"/>
  <sheetViews>
    <sheetView zoomScale="70" zoomScaleNormal="70" workbookViewId="0">
      <selection activeCell="H14" sqref="H14"/>
    </sheetView>
  </sheetViews>
  <sheetFormatPr baseColWidth="10" defaultRowHeight="14.5" x14ac:dyDescent="0.35"/>
  <cols>
    <col min="1" max="1" width="16.54296875" style="4" bestFit="1" customWidth="1"/>
    <col min="2" max="2" width="22.54296875" bestFit="1" customWidth="1"/>
    <col min="3" max="3" width="11.54296875" bestFit="1" customWidth="1"/>
    <col min="4" max="4" width="10.453125" bestFit="1" customWidth="1"/>
    <col min="5" max="5" width="20.26953125" bestFit="1" customWidth="1"/>
    <col min="6" max="6" width="22.81640625" customWidth="1"/>
    <col min="7" max="12" width="10.54296875" customWidth="1"/>
    <col min="13" max="13" width="11.1796875" customWidth="1"/>
    <col min="14" max="15" width="11" customWidth="1"/>
    <col min="16" max="16" width="11.54296875" bestFit="1" customWidth="1"/>
    <col min="17" max="18" width="11" bestFit="1" customWidth="1"/>
    <col min="19" max="21" width="10.54296875" bestFit="1" customWidth="1"/>
    <col min="22" max="22" width="10.26953125" bestFit="1" customWidth="1"/>
    <col min="23" max="23" width="11.54296875" bestFit="1" customWidth="1"/>
    <col min="24" max="24" width="12.1796875" bestFit="1" customWidth="1"/>
    <col min="25" max="25" width="10.453125" bestFit="1" customWidth="1"/>
    <col min="26" max="26" width="11.1796875" bestFit="1" customWidth="1"/>
    <col min="27" max="27" width="10.54296875" bestFit="1" customWidth="1"/>
    <col min="28" max="28" width="10.81640625" bestFit="1" customWidth="1"/>
    <col min="29" max="29" width="11.81640625" bestFit="1" customWidth="1"/>
    <col min="30" max="30" width="10.54296875" bestFit="1" customWidth="1"/>
    <col min="31" max="31" width="8.1796875" bestFit="1" customWidth="1"/>
    <col min="32" max="32" width="14.81640625" bestFit="1" customWidth="1"/>
    <col min="33" max="33" width="12.1796875" bestFit="1" customWidth="1"/>
    <col min="34" max="34" width="10.453125" bestFit="1" customWidth="1"/>
    <col min="35" max="35" width="11.1796875" bestFit="1" customWidth="1"/>
    <col min="36" max="36" width="10.54296875" bestFit="1" customWidth="1"/>
    <col min="37" max="37" width="10.81640625" bestFit="1" customWidth="1"/>
    <col min="38" max="38" width="11.81640625" bestFit="1" customWidth="1"/>
    <col min="39" max="39" width="10.54296875" bestFit="1" customWidth="1"/>
    <col min="40" max="40" width="8.1796875" bestFit="1" customWidth="1"/>
    <col min="41" max="41" width="14.81640625" bestFit="1" customWidth="1"/>
    <col min="42" max="42" width="12.1796875" bestFit="1" customWidth="1"/>
    <col min="43" max="43" width="10.453125" bestFit="1" customWidth="1"/>
    <col min="44" max="44" width="11.1796875" bestFit="1" customWidth="1"/>
    <col min="45" max="45" width="10.54296875" bestFit="1" customWidth="1"/>
    <col min="46" max="46" width="10.81640625" bestFit="1" customWidth="1"/>
    <col min="47" max="47" width="11.81640625" bestFit="1" customWidth="1"/>
    <col min="48" max="48" width="10.54296875" bestFit="1" customWidth="1"/>
    <col min="49" max="49" width="14.81640625" bestFit="1" customWidth="1"/>
    <col min="50" max="50" width="12.54296875" bestFit="1" customWidth="1"/>
    <col min="51" max="51" width="10.453125" bestFit="1" customWidth="1"/>
    <col min="52" max="52" width="11.1796875" bestFit="1" customWidth="1"/>
    <col min="53" max="53" width="10.54296875" bestFit="1" customWidth="1"/>
    <col min="54" max="54" width="10.453125" bestFit="1" customWidth="1"/>
    <col min="55" max="55" width="11.81640625" bestFit="1" customWidth="1"/>
    <col min="56" max="56" width="10.54296875" bestFit="1" customWidth="1"/>
    <col min="57" max="57" width="8.1796875" bestFit="1" customWidth="1"/>
    <col min="58" max="58" width="15.453125" bestFit="1" customWidth="1"/>
    <col min="59" max="59" width="12.54296875" bestFit="1" customWidth="1"/>
    <col min="60" max="60" width="10.453125" bestFit="1" customWidth="1"/>
    <col min="61" max="61" width="11.1796875" bestFit="1" customWidth="1"/>
    <col min="62" max="62" width="10.54296875" bestFit="1" customWidth="1"/>
    <col min="63" max="63" width="10.453125" bestFit="1" customWidth="1"/>
    <col min="64" max="64" width="11.81640625" bestFit="1" customWidth="1"/>
    <col min="65" max="65" width="10.54296875" bestFit="1" customWidth="1"/>
    <col min="66" max="66" width="8.1796875" bestFit="1" customWidth="1"/>
    <col min="67" max="67" width="15.26953125" bestFit="1" customWidth="1"/>
    <col min="68" max="68" width="12.54296875" bestFit="1" customWidth="1"/>
    <col min="69" max="69" width="10.453125" bestFit="1" customWidth="1"/>
    <col min="70" max="70" width="11.1796875" bestFit="1" customWidth="1"/>
    <col min="71" max="71" width="10.54296875" bestFit="1" customWidth="1"/>
    <col min="72" max="72" width="10.453125" bestFit="1" customWidth="1"/>
    <col min="73" max="73" width="11.81640625" bestFit="1" customWidth="1"/>
    <col min="74" max="74" width="10.54296875" bestFit="1" customWidth="1"/>
    <col min="75" max="75" width="8.1796875" bestFit="1" customWidth="1"/>
    <col min="76" max="76" width="15.26953125" bestFit="1" customWidth="1"/>
    <col min="77" max="77" width="12.54296875" bestFit="1" customWidth="1"/>
    <col min="78" max="78" width="10.453125" bestFit="1" customWidth="1"/>
    <col min="79" max="79" width="11.1796875" bestFit="1" customWidth="1"/>
    <col min="80" max="80" width="10.54296875" bestFit="1" customWidth="1"/>
    <col min="81" max="81" width="10.453125" bestFit="1" customWidth="1"/>
    <col min="82" max="82" width="11.81640625" bestFit="1" customWidth="1"/>
    <col min="83" max="83" width="10.54296875" bestFit="1" customWidth="1"/>
    <col min="84" max="84" width="15.26953125" bestFit="1" customWidth="1"/>
    <col min="85" max="85" width="12.54296875" bestFit="1" customWidth="1"/>
    <col min="86" max="86" width="11.1796875" bestFit="1" customWidth="1"/>
    <col min="87" max="87" width="11.81640625" bestFit="1" customWidth="1"/>
    <col min="88" max="88" width="15.26953125" bestFit="1" customWidth="1"/>
    <col min="89" max="89" width="12.54296875" bestFit="1" customWidth="1"/>
    <col min="90" max="90" width="11.1796875" bestFit="1" customWidth="1"/>
    <col min="91" max="91" width="10.54296875" bestFit="1" customWidth="1"/>
    <col min="92" max="92" width="15.26953125" bestFit="1" customWidth="1"/>
    <col min="93" max="93" width="12.1796875" bestFit="1" customWidth="1"/>
    <col min="94" max="94" width="11.1796875" bestFit="1" customWidth="1"/>
    <col min="95" max="95" width="10.54296875" bestFit="1" customWidth="1"/>
    <col min="96" max="96" width="10.453125" bestFit="1" customWidth="1"/>
    <col min="97" max="97" width="11.81640625" bestFit="1" customWidth="1"/>
    <col min="98" max="98" width="10.54296875" bestFit="1" customWidth="1"/>
    <col min="99" max="99" width="8.1796875" bestFit="1" customWidth="1"/>
    <col min="100" max="100" width="14.81640625" bestFit="1" customWidth="1"/>
    <col min="101" max="101" width="12" bestFit="1" customWidth="1"/>
    <col min="102" max="102" width="14.7265625" bestFit="1" customWidth="1"/>
    <col min="103" max="103" width="12.1796875" bestFit="1" customWidth="1"/>
    <col min="104" max="104" width="14.81640625" bestFit="1" customWidth="1"/>
    <col min="105" max="105" width="12.1796875" bestFit="1" customWidth="1"/>
    <col min="106" max="106" width="11.1796875" bestFit="1" customWidth="1"/>
    <col min="107" max="107" width="10.54296875" bestFit="1" customWidth="1"/>
    <col min="108" max="108" width="10.453125" bestFit="1" customWidth="1"/>
    <col min="109" max="109" width="10.54296875" bestFit="1" customWidth="1"/>
    <col min="110" max="110" width="8.1796875" bestFit="1" customWidth="1"/>
    <col min="111" max="111" width="14.81640625" bestFit="1" customWidth="1"/>
    <col min="112" max="112" width="11.453125" bestFit="1" customWidth="1"/>
  </cols>
  <sheetData>
    <row r="1" spans="1:7" ht="15.75" customHeight="1" thickBot="1" x14ac:dyDescent="0.4">
      <c r="A1" s="27" t="s">
        <v>58</v>
      </c>
      <c r="B1" s="12" t="s">
        <v>68</v>
      </c>
      <c r="E1" s="27" t="s">
        <v>58</v>
      </c>
      <c r="F1" s="12" t="s">
        <v>68</v>
      </c>
    </row>
    <row r="2" spans="1:7" ht="15.75" customHeight="1" thickBot="1" x14ac:dyDescent="0.4">
      <c r="E2" s="54" t="s">
        <v>69</v>
      </c>
      <c r="F2" s="12" t="s">
        <v>68</v>
      </c>
    </row>
    <row r="3" spans="1:7" ht="15.75" customHeight="1" thickBot="1" x14ac:dyDescent="0.4">
      <c r="A3" s="28" t="s">
        <v>69</v>
      </c>
      <c r="B3" s="29" t="s">
        <v>9</v>
      </c>
    </row>
    <row r="4" spans="1:7" x14ac:dyDescent="0.35">
      <c r="A4" s="16" t="s">
        <v>23</v>
      </c>
      <c r="B4" s="14">
        <v>915884</v>
      </c>
      <c r="E4" s="28" t="s">
        <v>70</v>
      </c>
      <c r="F4" s="29" t="s">
        <v>9</v>
      </c>
    </row>
    <row r="5" spans="1:7" x14ac:dyDescent="0.35">
      <c r="A5" s="16" t="s">
        <v>26</v>
      </c>
      <c r="B5" s="14">
        <v>1192077</v>
      </c>
      <c r="E5" s="16" t="s">
        <v>71</v>
      </c>
      <c r="F5" s="14">
        <v>1366166</v>
      </c>
    </row>
    <row r="6" spans="1:7" x14ac:dyDescent="0.35">
      <c r="A6" s="16" t="s">
        <v>27</v>
      </c>
      <c r="B6" s="14">
        <v>0</v>
      </c>
      <c r="E6" s="16" t="s">
        <v>72</v>
      </c>
      <c r="F6" s="14">
        <v>19082038</v>
      </c>
    </row>
    <row r="7" spans="1:7" ht="15.75" customHeight="1" thickBot="1" x14ac:dyDescent="0.4">
      <c r="A7" s="16" t="s">
        <v>28</v>
      </c>
      <c r="B7" s="14">
        <v>13453323</v>
      </c>
      <c r="E7" s="17" t="s">
        <v>35</v>
      </c>
      <c r="F7" s="15">
        <v>20448204</v>
      </c>
    </row>
    <row r="8" spans="1:7" x14ac:dyDescent="0.35">
      <c r="A8" s="16" t="s">
        <v>29</v>
      </c>
      <c r="B8" s="14">
        <v>1913956</v>
      </c>
    </row>
    <row r="9" spans="1:7" x14ac:dyDescent="0.35">
      <c r="A9" s="16" t="s">
        <v>30</v>
      </c>
      <c r="B9" s="14">
        <v>0</v>
      </c>
      <c r="C9" s="14"/>
    </row>
    <row r="10" spans="1:7" x14ac:dyDescent="0.35">
      <c r="A10" s="16" t="s">
        <v>31</v>
      </c>
      <c r="B10" s="14">
        <v>2705416</v>
      </c>
      <c r="C10" s="14"/>
    </row>
    <row r="11" spans="1:7" x14ac:dyDescent="0.35">
      <c r="A11" s="16" t="s">
        <v>32</v>
      </c>
      <c r="B11" s="14">
        <v>267548</v>
      </c>
      <c r="E11" s="50" t="s">
        <v>0</v>
      </c>
      <c r="F11" s="50" t="s">
        <v>73</v>
      </c>
    </row>
    <row r="12" spans="1:7" x14ac:dyDescent="0.35">
      <c r="A12" s="16" t="s">
        <v>33</v>
      </c>
      <c r="B12" s="14">
        <v>0</v>
      </c>
      <c r="E12" s="51" t="s">
        <v>12</v>
      </c>
      <c r="F12" s="52" t="s">
        <v>74</v>
      </c>
      <c r="G12" t="s">
        <v>75</v>
      </c>
    </row>
    <row r="13" spans="1:7" x14ac:dyDescent="0.35">
      <c r="A13" s="16" t="s">
        <v>72</v>
      </c>
      <c r="B13" s="14">
        <v>0</v>
      </c>
      <c r="E13" s="51" t="s">
        <v>13</v>
      </c>
      <c r="F13" s="53" t="s">
        <v>76</v>
      </c>
    </row>
    <row r="14" spans="1:7" ht="15.75" customHeight="1" thickBot="1" x14ac:dyDescent="0.4">
      <c r="A14" s="17" t="s">
        <v>35</v>
      </c>
      <c r="B14" s="15">
        <v>20448204</v>
      </c>
      <c r="E14" s="51" t="s">
        <v>15</v>
      </c>
      <c r="F14" s="53" t="s">
        <v>76</v>
      </c>
    </row>
    <row r="15" spans="1:7" x14ac:dyDescent="0.35">
      <c r="E15" s="51" t="s">
        <v>59</v>
      </c>
      <c r="F15" s="52" t="s">
        <v>25</v>
      </c>
    </row>
    <row r="16" spans="1:7" x14ac:dyDescent="0.35">
      <c r="A16" s="26" t="s">
        <v>0</v>
      </c>
      <c r="B16" t="s">
        <v>68</v>
      </c>
      <c r="E16" s="51" t="s">
        <v>16</v>
      </c>
      <c r="F16" s="53" t="s">
        <v>76</v>
      </c>
    </row>
    <row r="17" spans="1:23" x14ac:dyDescent="0.35">
      <c r="E17" s="51" t="s">
        <v>17</v>
      </c>
      <c r="F17" s="53" t="s">
        <v>76</v>
      </c>
    </row>
    <row r="18" spans="1:23" x14ac:dyDescent="0.35">
      <c r="A18" s="26" t="s">
        <v>8</v>
      </c>
      <c r="B18" t="s">
        <v>37</v>
      </c>
      <c r="E18" s="51" t="s">
        <v>77</v>
      </c>
      <c r="F18" s="53">
        <v>761535</v>
      </c>
    </row>
    <row r="19" spans="1:23" x14ac:dyDescent="0.35">
      <c r="A19" s="4" t="s">
        <v>34</v>
      </c>
      <c r="B19" s="13">
        <v>57513140</v>
      </c>
      <c r="C19" s="30"/>
      <c r="E19" s="51" t="s">
        <v>78</v>
      </c>
      <c r="F19" s="53" t="s">
        <v>76</v>
      </c>
    </row>
    <row r="20" spans="1:23" x14ac:dyDescent="0.35">
      <c r="A20" s="4" t="s">
        <v>7</v>
      </c>
      <c r="B20" s="13">
        <v>764833</v>
      </c>
      <c r="C20" s="13"/>
      <c r="E20" s="51" t="s">
        <v>79</v>
      </c>
      <c r="F20" s="53" t="s">
        <v>76</v>
      </c>
    </row>
    <row r="21" spans="1:23" x14ac:dyDescent="0.35">
      <c r="A21" s="4" t="s">
        <v>6</v>
      </c>
      <c r="B21" s="13">
        <v>1611977</v>
      </c>
      <c r="C21" s="13"/>
      <c r="E21" s="51" t="s">
        <v>14</v>
      </c>
      <c r="F21" s="52" t="s">
        <v>25</v>
      </c>
    </row>
    <row r="22" spans="1:23" x14ac:dyDescent="0.35">
      <c r="A22" s="4" t="s">
        <v>36</v>
      </c>
      <c r="B22" s="13">
        <v>748671</v>
      </c>
      <c r="C22" s="13"/>
      <c r="E22" s="51" t="s">
        <v>80</v>
      </c>
      <c r="F22" s="53" t="s">
        <v>76</v>
      </c>
    </row>
    <row r="23" spans="1:23" x14ac:dyDescent="0.35">
      <c r="A23" s="4" t="s">
        <v>72</v>
      </c>
      <c r="B23" s="13"/>
      <c r="E23" s="51" t="s">
        <v>81</v>
      </c>
      <c r="F23" s="53" t="s">
        <v>76</v>
      </c>
    </row>
    <row r="24" spans="1:23" x14ac:dyDescent="0.35">
      <c r="A24" s="4" t="s">
        <v>35</v>
      </c>
      <c r="B24" s="13">
        <v>60638621</v>
      </c>
      <c r="E24" s="51" t="s">
        <v>82</v>
      </c>
      <c r="F24" s="52" t="s">
        <v>25</v>
      </c>
    </row>
    <row r="25" spans="1:23" x14ac:dyDescent="0.35">
      <c r="E25" s="51" t="s">
        <v>21</v>
      </c>
      <c r="F25" s="53" t="s">
        <v>76</v>
      </c>
    </row>
    <row r="26" spans="1:23" x14ac:dyDescent="0.35">
      <c r="E26" s="51" t="s">
        <v>67</v>
      </c>
      <c r="F26" s="52" t="s">
        <v>25</v>
      </c>
      <c r="V26" s="13"/>
      <c r="W26" s="13"/>
    </row>
    <row r="27" spans="1:23" x14ac:dyDescent="0.35">
      <c r="V27" s="13"/>
      <c r="W27" s="13"/>
    </row>
    <row r="28" spans="1:23" x14ac:dyDescent="0.35">
      <c r="V28" s="13"/>
      <c r="W28" s="13"/>
    </row>
    <row r="29" spans="1:23" x14ac:dyDescent="0.35">
      <c r="V29" s="13"/>
      <c r="W29" s="13"/>
    </row>
    <row r="30" spans="1:23" x14ac:dyDescent="0.35">
      <c r="V30" s="13"/>
      <c r="W30" s="13"/>
    </row>
    <row r="31" spans="1:23" x14ac:dyDescent="0.35">
      <c r="V31" s="13"/>
      <c r="W31" s="13"/>
    </row>
    <row r="32" spans="1:23" x14ac:dyDescent="0.35">
      <c r="V32" s="13"/>
      <c r="W32" s="13"/>
    </row>
    <row r="33" spans="22:23" x14ac:dyDescent="0.35">
      <c r="V33" s="13"/>
      <c r="W33" s="13"/>
    </row>
    <row r="34" spans="22:23" x14ac:dyDescent="0.35">
      <c r="V34" s="13"/>
      <c r="W34" s="13"/>
    </row>
    <row r="35" spans="22:23" x14ac:dyDescent="0.35">
      <c r="V35" s="13"/>
      <c r="W35" s="13"/>
    </row>
    <row r="36" spans="22:23" x14ac:dyDescent="0.35">
      <c r="V36" s="32"/>
      <c r="W36" s="32"/>
    </row>
    <row r="54" spans="5:23" x14ac:dyDescent="0.35">
      <c r="E54" s="26" t="s">
        <v>9</v>
      </c>
      <c r="F54" s="26" t="s">
        <v>83</v>
      </c>
    </row>
    <row r="55" spans="5:23" x14ac:dyDescent="0.35">
      <c r="E55" s="26" t="s">
        <v>8</v>
      </c>
      <c r="F55" t="s">
        <v>59</v>
      </c>
      <c r="G55" t="s">
        <v>12</v>
      </c>
      <c r="H55" t="s">
        <v>13</v>
      </c>
      <c r="I55" t="s">
        <v>14</v>
      </c>
      <c r="J55" t="s">
        <v>15</v>
      </c>
      <c r="K55" t="s">
        <v>16</v>
      </c>
      <c r="L55" t="s">
        <v>17</v>
      </c>
      <c r="M55" t="s">
        <v>18</v>
      </c>
      <c r="N55" t="s">
        <v>19</v>
      </c>
      <c r="O55" t="s">
        <v>20</v>
      </c>
      <c r="P55" t="s">
        <v>60</v>
      </c>
      <c r="Q55" t="s">
        <v>61</v>
      </c>
      <c r="R55" t="s">
        <v>64</v>
      </c>
      <c r="S55" t="s">
        <v>65</v>
      </c>
      <c r="T55" t="s">
        <v>67</v>
      </c>
      <c r="U55" t="s">
        <v>21</v>
      </c>
      <c r="V55" t="s">
        <v>72</v>
      </c>
      <c r="W55" t="s">
        <v>35</v>
      </c>
    </row>
    <row r="56" spans="5:23" x14ac:dyDescent="0.35">
      <c r="E56" s="4" t="s">
        <v>23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>
        <v>915884</v>
      </c>
      <c r="V56" s="13"/>
      <c r="W56" s="13">
        <v>915884</v>
      </c>
    </row>
    <row r="57" spans="5:23" x14ac:dyDescent="0.35">
      <c r="E57" s="4" t="s">
        <v>26</v>
      </c>
      <c r="F57" s="13"/>
      <c r="G57" s="13"/>
      <c r="H57" s="13"/>
      <c r="I57" s="13"/>
      <c r="J57" s="13"/>
      <c r="K57" s="13"/>
      <c r="L57" s="13"/>
      <c r="M57" s="13"/>
      <c r="N57" s="13">
        <v>1192077</v>
      </c>
      <c r="O57" s="13"/>
      <c r="P57" s="13"/>
      <c r="Q57" s="13"/>
      <c r="R57" s="13"/>
      <c r="S57" s="13"/>
      <c r="T57" s="13"/>
      <c r="U57" s="13"/>
      <c r="V57" s="13"/>
      <c r="W57" s="13">
        <v>1192077</v>
      </c>
    </row>
    <row r="58" spans="5:23" x14ac:dyDescent="0.35">
      <c r="E58" s="4" t="s">
        <v>27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5:23" x14ac:dyDescent="0.35">
      <c r="E59" s="4" t="s">
        <v>28</v>
      </c>
      <c r="F59" s="13"/>
      <c r="G59" s="13"/>
      <c r="H59" s="13">
        <v>62571</v>
      </c>
      <c r="I59" s="13"/>
      <c r="J59" s="13">
        <v>8033657</v>
      </c>
      <c r="K59" s="13">
        <v>3105729</v>
      </c>
      <c r="L59" s="13">
        <v>47113</v>
      </c>
      <c r="M59" s="13"/>
      <c r="N59" s="13">
        <v>1646479</v>
      </c>
      <c r="O59" s="13"/>
      <c r="P59" s="13"/>
      <c r="Q59" s="13"/>
      <c r="R59" s="13"/>
      <c r="S59" s="13"/>
      <c r="T59" s="13"/>
      <c r="U59" s="13">
        <v>557774</v>
      </c>
      <c r="V59" s="13"/>
      <c r="W59" s="13">
        <v>13453323</v>
      </c>
    </row>
    <row r="60" spans="5:23" x14ac:dyDescent="0.35">
      <c r="E60" s="4" t="s">
        <v>29</v>
      </c>
      <c r="F60" s="13"/>
      <c r="G60" s="13"/>
      <c r="H60" s="13"/>
      <c r="I60" s="13"/>
      <c r="J60" s="13"/>
      <c r="K60" s="13"/>
      <c r="L60" s="13"/>
      <c r="M60" s="13"/>
      <c r="N60" s="13">
        <v>944692</v>
      </c>
      <c r="O60" s="13"/>
      <c r="P60" s="13"/>
      <c r="Q60" s="13"/>
      <c r="R60" s="13"/>
      <c r="S60" s="13"/>
      <c r="T60" s="13"/>
      <c r="U60" s="13">
        <v>969264</v>
      </c>
      <c r="V60" s="13"/>
      <c r="W60" s="13">
        <v>1913956</v>
      </c>
    </row>
    <row r="61" spans="5:23" x14ac:dyDescent="0.35">
      <c r="E61" s="4" t="s">
        <v>30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5:23" x14ac:dyDescent="0.35">
      <c r="E62" s="4" t="s">
        <v>31</v>
      </c>
      <c r="F62" s="13"/>
      <c r="G62" s="13"/>
      <c r="H62" s="13"/>
      <c r="I62" s="13"/>
      <c r="J62" s="13"/>
      <c r="K62" s="13">
        <v>107709</v>
      </c>
      <c r="L62" s="13"/>
      <c r="M62" s="13">
        <v>145806</v>
      </c>
      <c r="N62" s="13">
        <v>245827</v>
      </c>
      <c r="O62" s="13">
        <v>518706</v>
      </c>
      <c r="P62" s="13"/>
      <c r="Q62" s="13"/>
      <c r="R62" s="13"/>
      <c r="S62" s="13"/>
      <c r="T62" s="13"/>
      <c r="U62" s="13">
        <v>1687368</v>
      </c>
      <c r="V62" s="13"/>
      <c r="W62" s="13">
        <v>2705416</v>
      </c>
    </row>
    <row r="63" spans="5:23" x14ac:dyDescent="0.35">
      <c r="E63" s="4" t="s">
        <v>32</v>
      </c>
      <c r="F63" s="13"/>
      <c r="G63" s="13"/>
      <c r="H63" s="13"/>
      <c r="I63" s="13"/>
      <c r="J63" s="13"/>
      <c r="K63" s="13"/>
      <c r="L63" s="13"/>
      <c r="M63" s="13"/>
      <c r="N63" s="13">
        <v>85195</v>
      </c>
      <c r="O63" s="13"/>
      <c r="P63" s="13"/>
      <c r="Q63" s="13"/>
      <c r="R63" s="13"/>
      <c r="S63" s="13"/>
      <c r="T63" s="13"/>
      <c r="U63" s="13">
        <v>182353</v>
      </c>
      <c r="V63" s="13"/>
      <c r="W63" s="13">
        <v>267548</v>
      </c>
    </row>
    <row r="64" spans="5:23" x14ac:dyDescent="0.35">
      <c r="E64" s="4" t="s">
        <v>33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5:23" x14ac:dyDescent="0.35">
      <c r="E65" s="4" t="s">
        <v>72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5:23" x14ac:dyDescent="0.35">
      <c r="E66" s="4" t="s">
        <v>35</v>
      </c>
      <c r="F66" s="13"/>
      <c r="G66" s="13"/>
      <c r="H66" s="13">
        <v>62571</v>
      </c>
      <c r="I66" s="13"/>
      <c r="J66" s="13">
        <v>8033657</v>
      </c>
      <c r="K66" s="13">
        <v>3213438</v>
      </c>
      <c r="L66" s="13">
        <v>47113</v>
      </c>
      <c r="M66" s="13">
        <v>145806</v>
      </c>
      <c r="N66" s="13">
        <v>4114270</v>
      </c>
      <c r="O66" s="13">
        <v>518706</v>
      </c>
      <c r="P66" s="13"/>
      <c r="Q66" s="13"/>
      <c r="R66" s="13"/>
      <c r="S66" s="13"/>
      <c r="T66" s="13"/>
      <c r="U66" s="13">
        <v>4312643</v>
      </c>
      <c r="V66" s="13"/>
      <c r="W66" s="13">
        <v>20448204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/>
  <dimension ref="A1:Q1"/>
  <sheetViews>
    <sheetView showGridLines="0" tabSelected="1" zoomScale="70" zoomScaleNormal="70" workbookViewId="0">
      <selection activeCell="H2" sqref="H2"/>
    </sheetView>
  </sheetViews>
  <sheetFormatPr baseColWidth="10" defaultColWidth="11.453125" defaultRowHeight="14.5" x14ac:dyDescent="0.35"/>
  <cols>
    <col min="1" max="1" width="23.54296875" style="70" bestFit="1" customWidth="1"/>
    <col min="2" max="2" width="22.36328125" style="70" customWidth="1"/>
    <col min="3" max="3" width="20.7265625" style="70" bestFit="1" customWidth="1"/>
    <col min="4" max="4" width="25.1796875" style="70" bestFit="1" customWidth="1"/>
    <col min="5" max="5" width="23.08984375" style="70" bestFit="1" customWidth="1"/>
    <col min="6" max="6" width="22.7265625" style="70" bestFit="1" customWidth="1"/>
    <col min="7" max="7" width="31" style="70" bestFit="1" customWidth="1"/>
    <col min="8" max="8" width="31" style="70" customWidth="1"/>
    <col min="9" max="9" width="24.08984375" style="70" bestFit="1" customWidth="1"/>
    <col min="10" max="10" width="23.7265625" style="71" bestFit="1" customWidth="1"/>
    <col min="11" max="11" width="21.54296875" style="70" bestFit="1" customWidth="1"/>
    <col min="12" max="12" width="20.453125" style="70" bestFit="1" customWidth="1"/>
    <col min="13" max="13" width="12.453125" style="70" bestFit="1" customWidth="1"/>
    <col min="14" max="15" width="21.7265625" style="70" bestFit="1" customWidth="1"/>
    <col min="16" max="16" width="20.26953125" style="70" bestFit="1" customWidth="1"/>
    <col min="17" max="17" width="29" style="70" bestFit="1" customWidth="1"/>
    <col min="18" max="18" width="11.81640625" style="70" bestFit="1" customWidth="1"/>
    <col min="19" max="19" width="12.08984375" style="70" bestFit="1" customWidth="1"/>
    <col min="20" max="20" width="19.453125" style="70" bestFit="1" customWidth="1"/>
    <col min="21" max="16384" width="11.453125" style="70"/>
  </cols>
  <sheetData>
    <row r="1" spans="1:17" s="68" customFormat="1" ht="21" customHeight="1" x14ac:dyDescent="0.35">
      <c r="A1" s="68" t="s">
        <v>104</v>
      </c>
      <c r="B1" s="68" t="s">
        <v>105</v>
      </c>
      <c r="C1" s="68" t="s">
        <v>107</v>
      </c>
      <c r="D1" s="68" t="s">
        <v>108</v>
      </c>
      <c r="E1" s="68" t="s">
        <v>109</v>
      </c>
      <c r="F1" s="68" t="s">
        <v>110</v>
      </c>
      <c r="G1" s="68" t="s">
        <v>111</v>
      </c>
      <c r="H1" s="68" t="s">
        <v>126</v>
      </c>
      <c r="I1" s="68" t="s">
        <v>119</v>
      </c>
      <c r="J1" s="69" t="s">
        <v>120</v>
      </c>
      <c r="K1" s="69" t="s">
        <v>84</v>
      </c>
      <c r="L1" s="69" t="s">
        <v>112</v>
      </c>
      <c r="M1" s="69" t="s">
        <v>121</v>
      </c>
      <c r="N1" s="69" t="s">
        <v>122</v>
      </c>
      <c r="O1" s="69" t="s">
        <v>123</v>
      </c>
      <c r="P1" s="69" t="s">
        <v>124</v>
      </c>
      <c r="Q1" s="69" t="s">
        <v>125</v>
      </c>
    </row>
  </sheetData>
  <autoFilter ref="A1:L1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C19"/>
  <sheetViews>
    <sheetView zoomScale="55" zoomScaleNormal="55" workbookViewId="0">
      <selection activeCell="D14" sqref="D14:G19"/>
    </sheetView>
  </sheetViews>
  <sheetFormatPr baseColWidth="10" defaultRowHeight="14.5" x14ac:dyDescent="0.35"/>
  <cols>
    <col min="1" max="1" width="22.54296875" bestFit="1" customWidth="1"/>
    <col min="2" max="2" width="21.81640625" hidden="1" customWidth="1"/>
    <col min="3" max="3" width="14.81640625" hidden="1" customWidth="1"/>
    <col min="4" max="4" width="25.7265625" bestFit="1" customWidth="1"/>
    <col min="5" max="5" width="18.1796875" bestFit="1" customWidth="1"/>
    <col min="6" max="6" width="28.81640625" bestFit="1" customWidth="1"/>
    <col min="7" max="7" width="24.54296875" bestFit="1" customWidth="1"/>
    <col min="8" max="8" width="38.1796875" bestFit="1" customWidth="1"/>
    <col min="9" max="9" width="16.1796875" bestFit="1" customWidth="1"/>
    <col min="10" max="10" width="28.453125" bestFit="1" customWidth="1"/>
    <col min="11" max="11" width="18.26953125" bestFit="1" customWidth="1"/>
    <col min="12" max="12" width="24.7265625" hidden="1" customWidth="1"/>
    <col min="13" max="14" width="26.453125" hidden="1" customWidth="1"/>
    <col min="15" max="15" width="22.453125" hidden="1" customWidth="1"/>
    <col min="16" max="16" width="24.81640625" bestFit="1" customWidth="1"/>
    <col min="17" max="17" width="11.54296875" bestFit="1" customWidth="1"/>
    <col min="18" max="18" width="27.81640625" bestFit="1" customWidth="1"/>
    <col min="19" max="19" width="15" bestFit="1" customWidth="1"/>
    <col min="20" max="20" width="18" bestFit="1" customWidth="1"/>
    <col min="21" max="21" width="15" bestFit="1" customWidth="1"/>
    <col min="22" max="22" width="24.1796875" hidden="1" customWidth="1"/>
    <col min="23" max="23" width="14.81640625" hidden="1" customWidth="1"/>
    <col min="24" max="24" width="25.453125" hidden="1" customWidth="1"/>
    <col min="25" max="25" width="14.81640625" hidden="1" customWidth="1"/>
    <col min="26" max="26" width="25.453125" hidden="1" customWidth="1"/>
    <col min="27" max="27" width="15.26953125" hidden="1" customWidth="1"/>
    <col min="28" max="28" width="21.54296875" hidden="1" customWidth="1"/>
    <col min="29" max="29" width="14.81640625" hidden="1" customWidth="1"/>
    <col min="30" max="30" width="24.7265625" bestFit="1" customWidth="1"/>
    <col min="31" max="31" width="15" bestFit="1" customWidth="1"/>
    <col min="32" max="32" width="12.453125" bestFit="1" customWidth="1"/>
  </cols>
  <sheetData>
    <row r="3" spans="1:17" x14ac:dyDescent="0.35">
      <c r="A3" s="26" t="s">
        <v>37</v>
      </c>
      <c r="B3" s="26" t="s">
        <v>83</v>
      </c>
    </row>
    <row r="4" spans="1:17" x14ac:dyDescent="0.35">
      <c r="B4" t="s">
        <v>59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77</v>
      </c>
      <c r="J4" t="s">
        <v>78</v>
      </c>
      <c r="K4" t="s">
        <v>79</v>
      </c>
      <c r="L4" t="s">
        <v>82</v>
      </c>
      <c r="M4" t="s">
        <v>80</v>
      </c>
      <c r="N4" t="s">
        <v>64</v>
      </c>
      <c r="O4" t="s">
        <v>67</v>
      </c>
      <c r="P4" t="s">
        <v>21</v>
      </c>
      <c r="Q4" t="s">
        <v>35</v>
      </c>
    </row>
    <row r="5" spans="1:17" x14ac:dyDescent="0.35">
      <c r="A5" s="26" t="s">
        <v>8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</row>
    <row r="6" spans="1:17" x14ac:dyDescent="0.35">
      <c r="A6" s="4" t="s">
        <v>34</v>
      </c>
      <c r="C6">
        <v>20027437</v>
      </c>
      <c r="D6" s="13">
        <v>4483721</v>
      </c>
      <c r="E6" s="13">
        <v>143463</v>
      </c>
      <c r="F6" s="13">
        <v>6605387</v>
      </c>
      <c r="G6" s="13">
        <v>13761543</v>
      </c>
      <c r="H6" s="13">
        <v>50369</v>
      </c>
      <c r="I6" s="13">
        <v>325401</v>
      </c>
      <c r="J6" s="13">
        <v>4054942</v>
      </c>
      <c r="K6" s="13"/>
      <c r="L6" s="13"/>
      <c r="M6" s="13"/>
      <c r="N6" s="13"/>
      <c r="O6" s="13"/>
      <c r="P6" s="13">
        <v>8060877</v>
      </c>
      <c r="Q6" s="13">
        <v>57513140</v>
      </c>
    </row>
    <row r="7" spans="1:17" x14ac:dyDescent="0.35">
      <c r="A7" s="4" t="s">
        <v>7</v>
      </c>
      <c r="C7">
        <v>378263</v>
      </c>
      <c r="D7" s="13"/>
      <c r="E7" s="13"/>
      <c r="F7" s="13"/>
      <c r="G7" s="13">
        <v>80204</v>
      </c>
      <c r="H7" s="13"/>
      <c r="I7" s="13">
        <v>21008</v>
      </c>
      <c r="J7" s="13">
        <v>184056</v>
      </c>
      <c r="K7" s="13"/>
      <c r="L7" s="13"/>
      <c r="M7" s="13"/>
      <c r="N7" s="13"/>
      <c r="O7" s="13"/>
      <c r="P7" s="13">
        <v>101302</v>
      </c>
      <c r="Q7" s="13">
        <v>764833</v>
      </c>
    </row>
    <row r="8" spans="1:17" x14ac:dyDescent="0.35">
      <c r="A8" s="4" t="s">
        <v>6</v>
      </c>
      <c r="D8" s="13"/>
      <c r="E8" s="13"/>
      <c r="F8" s="13"/>
      <c r="G8" s="13">
        <v>210231</v>
      </c>
      <c r="H8" s="13"/>
      <c r="I8" s="13"/>
      <c r="J8" s="13"/>
      <c r="K8" s="13">
        <v>683030</v>
      </c>
      <c r="L8" s="13"/>
      <c r="M8" s="13"/>
      <c r="N8" s="13"/>
      <c r="O8" s="13"/>
      <c r="P8" s="13">
        <v>718716</v>
      </c>
      <c r="Q8" s="13">
        <v>1611977</v>
      </c>
    </row>
    <row r="9" spans="1:17" x14ac:dyDescent="0.35">
      <c r="A9" s="4" t="s">
        <v>36</v>
      </c>
      <c r="D9" s="13"/>
      <c r="E9" s="13"/>
      <c r="F9" s="13"/>
      <c r="G9" s="13"/>
      <c r="H9" s="13"/>
      <c r="I9" s="13">
        <v>252340</v>
      </c>
      <c r="J9" s="13"/>
      <c r="K9" s="13"/>
      <c r="L9" s="13"/>
      <c r="M9" s="13"/>
      <c r="N9" s="13"/>
      <c r="O9" s="13"/>
      <c r="P9" s="13">
        <v>496331</v>
      </c>
      <c r="Q9" s="13">
        <v>748671</v>
      </c>
    </row>
    <row r="10" spans="1:17" x14ac:dyDescent="0.35">
      <c r="A10" s="4" t="s">
        <v>35</v>
      </c>
      <c r="C10">
        <v>20405700</v>
      </c>
      <c r="D10" s="13">
        <v>4483721</v>
      </c>
      <c r="E10" s="13">
        <v>143463</v>
      </c>
      <c r="F10" s="13">
        <v>6605387</v>
      </c>
      <c r="G10" s="13">
        <v>14051978</v>
      </c>
      <c r="H10" s="13">
        <v>50369</v>
      </c>
      <c r="I10" s="13">
        <v>598749</v>
      </c>
      <c r="J10" s="13">
        <v>4238998</v>
      </c>
      <c r="K10" s="13">
        <v>683030</v>
      </c>
      <c r="L10" s="13"/>
      <c r="M10" s="13"/>
      <c r="N10" s="13"/>
      <c r="O10" s="13"/>
      <c r="P10" s="13">
        <v>9377226</v>
      </c>
      <c r="Q10" s="13">
        <v>60638621</v>
      </c>
    </row>
    <row r="14" spans="1:17" x14ac:dyDescent="0.35">
      <c r="D14" t="s">
        <v>100</v>
      </c>
      <c r="E14" t="s">
        <v>101</v>
      </c>
      <c r="F14" t="s">
        <v>102</v>
      </c>
      <c r="G14" t="s">
        <v>103</v>
      </c>
    </row>
    <row r="15" spans="1:17" x14ac:dyDescent="0.35">
      <c r="D15" s="66" t="s">
        <v>13</v>
      </c>
      <c r="E15" s="65" t="s">
        <v>87</v>
      </c>
      <c r="G15" s="67">
        <v>4483721</v>
      </c>
    </row>
    <row r="16" spans="1:17" x14ac:dyDescent="0.35">
      <c r="D16" s="66" t="s">
        <v>15</v>
      </c>
      <c r="E16" s="65" t="s">
        <v>89</v>
      </c>
      <c r="G16" s="67">
        <v>6605387</v>
      </c>
    </row>
    <row r="17" spans="4:7" x14ac:dyDescent="0.35">
      <c r="D17" s="66" t="s">
        <v>16</v>
      </c>
      <c r="E17" s="65" t="s">
        <v>90</v>
      </c>
      <c r="G17" s="67">
        <v>14051978</v>
      </c>
    </row>
    <row r="18" spans="4:7" x14ac:dyDescent="0.35">
      <c r="D18" s="66" t="s">
        <v>78</v>
      </c>
      <c r="E18" s="65" t="s">
        <v>93</v>
      </c>
      <c r="G18" s="67">
        <v>4238998</v>
      </c>
    </row>
    <row r="19" spans="4:7" x14ac:dyDescent="0.35">
      <c r="D19" s="66" t="s">
        <v>21</v>
      </c>
      <c r="E19" s="65" t="s">
        <v>99</v>
      </c>
      <c r="G19" s="67">
        <v>9377226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zoomScale="70" zoomScaleNormal="70" workbookViewId="0">
      <pane ySplit="1" topLeftCell="A2" activePane="bottomLeft" state="frozen"/>
      <selection pane="bottomLeft" activeCell="B7" sqref="B7"/>
    </sheetView>
  </sheetViews>
  <sheetFormatPr baseColWidth="10" defaultColWidth="11.453125" defaultRowHeight="14.5" x14ac:dyDescent="0.35"/>
  <cols>
    <col min="1" max="1" width="14.1796875" bestFit="1" customWidth="1"/>
    <col min="2" max="2" width="37" bestFit="1" customWidth="1"/>
    <col min="3" max="3" width="17.26953125" bestFit="1" customWidth="1"/>
    <col min="4" max="4" width="21" bestFit="1" customWidth="1"/>
    <col min="5" max="5" width="22.54296875" bestFit="1" customWidth="1"/>
    <col min="6" max="6" width="15.6328125" customWidth="1"/>
    <col min="7" max="7" width="23.1796875" bestFit="1" customWidth="1"/>
    <col min="8" max="8" width="11.453125" style="2" customWidth="1"/>
    <col min="9" max="9" width="12.453125" style="2" bestFit="1" customWidth="1"/>
    <col min="10" max="10" width="27.7265625" style="2" bestFit="1" customWidth="1"/>
    <col min="11" max="11" width="16.453125" style="2" bestFit="1" customWidth="1"/>
    <col min="12" max="12" width="20" style="2" bestFit="1" customWidth="1"/>
    <col min="13" max="13" width="11.453125" customWidth="1"/>
    <col min="14" max="14" width="16.36328125" bestFit="1" customWidth="1"/>
    <col min="17" max="17" width="24.26953125" bestFit="1" customWidth="1"/>
  </cols>
  <sheetData>
    <row r="1" spans="1:20" s="11" customFormat="1" ht="24.65" customHeight="1" x14ac:dyDescent="0.3">
      <c r="A1" s="6" t="s">
        <v>104</v>
      </c>
      <c r="B1" s="6" t="s">
        <v>105</v>
      </c>
      <c r="C1" s="6" t="s">
        <v>107</v>
      </c>
      <c r="D1" s="6" t="s">
        <v>108</v>
      </c>
      <c r="E1" s="6" t="s">
        <v>109</v>
      </c>
      <c r="F1" s="6" t="s">
        <v>110</v>
      </c>
      <c r="G1" s="7" t="s">
        <v>111</v>
      </c>
      <c r="H1" s="25" t="s">
        <v>1</v>
      </c>
      <c r="I1" s="8" t="s">
        <v>2</v>
      </c>
      <c r="J1" s="8" t="s">
        <v>3</v>
      </c>
      <c r="K1" s="8" t="s">
        <v>113</v>
      </c>
      <c r="L1" s="8" t="s">
        <v>114</v>
      </c>
      <c r="M1" s="6" t="s">
        <v>4</v>
      </c>
      <c r="N1" s="6" t="s">
        <v>112</v>
      </c>
      <c r="O1" s="10" t="s">
        <v>115</v>
      </c>
      <c r="P1" s="6" t="s">
        <v>116</v>
      </c>
      <c r="Q1" s="6" t="s">
        <v>117</v>
      </c>
      <c r="R1" s="6" t="s">
        <v>118</v>
      </c>
      <c r="S1" s="6" t="s">
        <v>106</v>
      </c>
      <c r="T1" s="9" t="s">
        <v>5</v>
      </c>
    </row>
  </sheetData>
  <autoFilter ref="A1:S1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Levantamiento</vt:lpstr>
      <vt:lpstr>Revision</vt:lpstr>
      <vt:lpstr>Detalle</vt:lpstr>
      <vt:lpstr>Base AFP</vt:lpstr>
      <vt:lpstr>Hoja2</vt:lpstr>
      <vt:lpstr>Base Isapre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Miguel Fernández Rojas</cp:lastModifiedBy>
  <dcterms:created xsi:type="dcterms:W3CDTF">2025-10-13T19:31:55Z</dcterms:created>
  <dcterms:modified xsi:type="dcterms:W3CDTF">2026-06-03T21:22:08Z</dcterms:modified>
</cp:coreProperties>
</file>